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08" codeName="{4F8ACE45-EE9A-2D80-15BD-93BB759BF452}"/>
  <workbookPr codeName="ThisWorkbook"/>
  <mc:AlternateContent xmlns:mc="http://schemas.openxmlformats.org/markup-compatibility/2006">
    <mc:Choice Requires="x15">
      <x15ac:absPath xmlns:x15ac="http://schemas.microsoft.com/office/spreadsheetml/2010/11/ac" url="/Volumes/SUMITRO/ECO461/"/>
    </mc:Choice>
  </mc:AlternateContent>
  <xr:revisionPtr revIDLastSave="0" documentId="13_ncr:1_{64DE45E7-6CBF-C446-A99D-4C8B05483355}" xr6:coauthVersionLast="45" xr6:coauthVersionMax="45" xr10:uidLastSave="{00000000-0000-0000-0000-000000000000}"/>
  <bookViews>
    <workbookView xWindow="0" yWindow="460" windowWidth="28800" windowHeight="16380" activeTab="4" xr2:uid="{00000000-000D-0000-FFFF-FFFF00000000}"/>
  </bookViews>
  <sheets>
    <sheet name="Intro" sheetId="23" r:id="rId1"/>
    <sheet name="CurrencyDoc" sheetId="22" r:id="rId2"/>
    <sheet name="Expo" sheetId="27" r:id="rId3"/>
    <sheet name="MCSim4" sheetId="25" r:id="rId4"/>
    <sheet name="CorrelatedRVs" sheetId="28" r:id="rId5"/>
    <sheet name="Version" sheetId="24" r:id="rId6"/>
  </sheets>
  <functionGroups builtInGroupCount="19"/>
  <externalReferences>
    <externalReference r:id="rId7"/>
  </externalReferences>
  <definedNames>
    <definedName name="Cho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24" l="1" a="1"/>
  <c r="E3" i="24" l="1"/>
  <c r="F4" i="24"/>
  <c r="G5" i="24"/>
  <c r="E7" i="24"/>
  <c r="F8" i="24"/>
  <c r="G9" i="24"/>
  <c r="E11" i="24"/>
  <c r="F12" i="24"/>
  <c r="G13" i="24"/>
  <c r="E15" i="24"/>
  <c r="F16" i="24"/>
  <c r="G17" i="24"/>
  <c r="E19" i="24"/>
  <c r="F20" i="24"/>
  <c r="G21" i="24"/>
  <c r="E23" i="24"/>
  <c r="F24" i="24"/>
  <c r="G25" i="24"/>
  <c r="E27" i="24"/>
  <c r="F28" i="24"/>
  <c r="G29" i="24"/>
  <c r="E31" i="24"/>
  <c r="F32" i="24"/>
  <c r="G33" i="24"/>
  <c r="E35" i="24"/>
  <c r="F36" i="24"/>
  <c r="G37" i="24"/>
  <c r="E39" i="24"/>
  <c r="F40" i="24"/>
  <c r="G41" i="24"/>
  <c r="E43" i="24"/>
  <c r="F44" i="24"/>
  <c r="G45" i="24"/>
  <c r="E47" i="24"/>
  <c r="F48" i="24"/>
  <c r="G49" i="24"/>
  <c r="E51" i="24"/>
  <c r="F52" i="24"/>
  <c r="G53" i="24"/>
  <c r="E55" i="24"/>
  <c r="F56" i="24"/>
  <c r="G57" i="24"/>
  <c r="E59" i="24"/>
  <c r="F60" i="24"/>
  <c r="G61" i="24"/>
  <c r="E63" i="24"/>
  <c r="F64" i="24"/>
  <c r="G65" i="24"/>
  <c r="E67" i="24"/>
  <c r="F68" i="24"/>
  <c r="G69" i="24"/>
  <c r="E71" i="24"/>
  <c r="F72" i="24"/>
  <c r="G73" i="24"/>
  <c r="E75" i="24"/>
  <c r="F76" i="24"/>
  <c r="G77" i="24"/>
  <c r="E79" i="24"/>
  <c r="F80" i="24"/>
  <c r="G81" i="24"/>
  <c r="E83" i="24"/>
  <c r="F84" i="24"/>
  <c r="G85" i="24"/>
  <c r="E87" i="24"/>
  <c r="F88" i="24"/>
  <c r="G89" i="24"/>
  <c r="E91" i="24"/>
  <c r="G4" i="24"/>
  <c r="F11" i="24"/>
  <c r="E14" i="24"/>
  <c r="G16" i="24"/>
  <c r="F19" i="24"/>
  <c r="G20" i="24"/>
  <c r="F23" i="24"/>
  <c r="E26" i="24"/>
  <c r="G28" i="24"/>
  <c r="F31" i="24"/>
  <c r="E34" i="24"/>
  <c r="G36" i="24"/>
  <c r="F39" i="24"/>
  <c r="E42" i="24"/>
  <c r="G44" i="24"/>
  <c r="F47" i="24"/>
  <c r="E50" i="24"/>
  <c r="G52" i="24"/>
  <c r="F3" i="24"/>
  <c r="E6" i="24"/>
  <c r="F7" i="24"/>
  <c r="G8" i="24"/>
  <c r="E10" i="24"/>
  <c r="G12" i="24"/>
  <c r="F15" i="24"/>
  <c r="E18" i="24"/>
  <c r="E22" i="24"/>
  <c r="G24" i="24"/>
  <c r="F27" i="24"/>
  <c r="E30" i="24"/>
  <c r="G32" i="24"/>
  <c r="F35" i="24"/>
  <c r="E38" i="24"/>
  <c r="G40" i="24"/>
  <c r="F43" i="24"/>
  <c r="E46" i="24"/>
  <c r="G48" i="24"/>
  <c r="F51" i="24"/>
  <c r="E54" i="24"/>
  <c r="G3" i="24"/>
  <c r="E5" i="24"/>
  <c r="F6" i="24"/>
  <c r="G7" i="24"/>
  <c r="E9" i="24"/>
  <c r="F10" i="24"/>
  <c r="G11" i="24"/>
  <c r="E13" i="24"/>
  <c r="F14" i="24"/>
  <c r="G15" i="24"/>
  <c r="E17" i="24"/>
  <c r="F18" i="24"/>
  <c r="G19" i="24"/>
  <c r="E21" i="24"/>
  <c r="F22" i="24"/>
  <c r="G23" i="24"/>
  <c r="E25" i="24"/>
  <c r="F26" i="24"/>
  <c r="G27" i="24"/>
  <c r="E29" i="24"/>
  <c r="F30" i="24"/>
  <c r="G31" i="24"/>
  <c r="E33" i="24"/>
  <c r="F34" i="24"/>
  <c r="G35" i="24"/>
  <c r="E37" i="24"/>
  <c r="F38" i="24"/>
  <c r="G39" i="24"/>
  <c r="E41" i="24"/>
  <c r="F42" i="24"/>
  <c r="G43" i="24"/>
  <c r="E45" i="24"/>
  <c r="F46" i="24"/>
  <c r="G47" i="24"/>
  <c r="E49" i="24"/>
  <c r="F50" i="24"/>
  <c r="G51" i="24"/>
  <c r="E53" i="24"/>
  <c r="F54" i="24"/>
  <c r="E4" i="24"/>
  <c r="F9" i="24"/>
  <c r="G14" i="24"/>
  <c r="E20" i="24"/>
  <c r="F25" i="24"/>
  <c r="G30" i="24"/>
  <c r="E36" i="24"/>
  <c r="F41" i="24"/>
  <c r="G46" i="24"/>
  <c r="E52" i="24"/>
  <c r="G55" i="24"/>
  <c r="F57" i="24"/>
  <c r="F59" i="24"/>
  <c r="E61" i="24"/>
  <c r="G62" i="24"/>
  <c r="E68" i="24"/>
  <c r="E77" i="24"/>
  <c r="E86" i="24"/>
  <c r="E16" i="24"/>
  <c r="G42" i="24"/>
  <c r="E58" i="24"/>
  <c r="F63" i="24"/>
  <c r="G68" i="24"/>
  <c r="E74" i="24"/>
  <c r="F79" i="24"/>
  <c r="G84" i="24"/>
  <c r="E90" i="24"/>
  <c r="G6" i="24"/>
  <c r="E12" i="24"/>
  <c r="F17" i="24"/>
  <c r="G22" i="24"/>
  <c r="E28" i="24"/>
  <c r="F33" i="24"/>
  <c r="G38" i="24"/>
  <c r="E44" i="24"/>
  <c r="F49" i="24"/>
  <c r="G54" i="24"/>
  <c r="G56" i="24"/>
  <c r="F58" i="24"/>
  <c r="E60" i="24"/>
  <c r="E62" i="24"/>
  <c r="G63" i="24"/>
  <c r="F65" i="24"/>
  <c r="F67" i="24"/>
  <c r="E69" i="24"/>
  <c r="G70" i="24"/>
  <c r="G72" i="24"/>
  <c r="F74" i="24"/>
  <c r="E76" i="24"/>
  <c r="E78" i="24"/>
  <c r="G79" i="24"/>
  <c r="F81" i="24"/>
  <c r="F83" i="24"/>
  <c r="E85" i="24"/>
  <c r="G86" i="24"/>
  <c r="G88" i="24"/>
  <c r="F90" i="24"/>
  <c r="E8" i="24"/>
  <c r="G18" i="24"/>
  <c r="E24" i="24"/>
  <c r="F29" i="24"/>
  <c r="G34" i="24"/>
  <c r="E40" i="24"/>
  <c r="F45" i="24"/>
  <c r="G50" i="24"/>
  <c r="F55" i="24"/>
  <c r="E57" i="24"/>
  <c r="G58" i="24"/>
  <c r="G60" i="24"/>
  <c r="F62" i="24"/>
  <c r="E64" i="24"/>
  <c r="E66" i="24"/>
  <c r="G67" i="24"/>
  <c r="F69" i="24"/>
  <c r="F71" i="24"/>
  <c r="E73" i="24"/>
  <c r="G74" i="24"/>
  <c r="F78" i="24"/>
  <c r="E80" i="24"/>
  <c r="G83" i="24"/>
  <c r="F87" i="24"/>
  <c r="G90" i="24"/>
  <c r="F66" i="24"/>
  <c r="E70" i="24"/>
  <c r="F73" i="24"/>
  <c r="G78" i="24"/>
  <c r="F82" i="24"/>
  <c r="G87" i="24"/>
  <c r="F91" i="24"/>
  <c r="G10" i="24"/>
  <c r="G26" i="24"/>
  <c r="F37" i="24"/>
  <c r="F53" i="24"/>
  <c r="G59" i="24"/>
  <c r="E65" i="24"/>
  <c r="F70" i="24"/>
  <c r="G75" i="24"/>
  <c r="E81" i="24"/>
  <c r="E88" i="24"/>
  <c r="F13" i="24"/>
  <c r="G76" i="24"/>
  <c r="E82" i="24"/>
  <c r="F85" i="24"/>
  <c r="E89" i="24"/>
  <c r="G64" i="24"/>
  <c r="G71" i="24"/>
  <c r="F75" i="24"/>
  <c r="G80" i="24"/>
  <c r="E84" i="24"/>
  <c r="F89" i="24"/>
  <c r="F5" i="24"/>
  <c r="F21" i="24"/>
  <c r="E32" i="24"/>
  <c r="E48" i="24"/>
  <c r="E56" i="24"/>
  <c r="F61" i="24"/>
  <c r="G66" i="24"/>
  <c r="E72" i="24"/>
  <c r="F77" i="24"/>
  <c r="G82" i="24"/>
  <c r="F86" i="24"/>
  <c r="G91" i="24"/>
  <c r="E92" i="24" a="1"/>
  <c r="F92" i="24" l="1"/>
  <c r="E92" i="24"/>
  <c r="G92" i="24"/>
  <c r="E93" i="24" a="1"/>
  <c r="F93" i="24" l="1"/>
  <c r="E93" i="24"/>
  <c r="G93" i="24"/>
  <c r="E94" i="24" a="1"/>
  <c r="E94" i="24" l="1"/>
  <c r="F94" i="24"/>
  <c r="G94" i="24"/>
  <c r="E95" i="24" a="1"/>
  <c r="F95" i="24" l="1"/>
  <c r="E95" i="24"/>
  <c r="G95" i="24"/>
  <c r="E96" i="24" a="1"/>
  <c r="F96" i="24" l="1"/>
  <c r="E96" i="24"/>
  <c r="G96" i="24"/>
  <c r="E97" i="24" a="1"/>
  <c r="F97" i="24" l="1"/>
  <c r="E97" i="24"/>
  <c r="G97" i="24"/>
  <c r="E98" i="24" a="1"/>
  <c r="F98" i="24" l="1"/>
  <c r="E98" i="24"/>
  <c r="G98" i="24"/>
  <c r="E99" i="24" a="1"/>
  <c r="F99" i="24" l="1"/>
  <c r="E99" i="24"/>
  <c r="G99" i="24"/>
  <c r="E100" i="24" a="1"/>
  <c r="F100" i="24" l="1"/>
  <c r="E100" i="24"/>
  <c r="G100" i="24"/>
  <c r="E101" i="24" a="1"/>
  <c r="F101" i="24" l="1"/>
  <c r="E101" i="24"/>
  <c r="G101" i="24"/>
  <c r="E102" i="24" a="1"/>
  <c r="F102" i="24" l="1"/>
  <c r="E102" i="24"/>
  <c r="G102" i="24"/>
  <c r="E103" i="24" a="1"/>
  <c r="F103" i="24" l="1"/>
  <c r="E103" i="24"/>
  <c r="G103" i="24"/>
  <c r="E104" i="24" a="1"/>
  <c r="E104" i="24" l="1"/>
  <c r="F104" i="24"/>
  <c r="G104" i="24"/>
  <c r="E105" i="24" a="1"/>
  <c r="F105" i="24" l="1"/>
  <c r="E105" i="24"/>
  <c r="G105" i="24"/>
  <c r="E106" i="24" a="1"/>
  <c r="F106" i="24" l="1"/>
  <c r="E106" i="24"/>
  <c r="G106" i="24"/>
  <c r="E107" i="24" a="1"/>
  <c r="F107" i="24" l="1"/>
  <c r="E107" i="24"/>
  <c r="G107" i="24"/>
  <c r="E108" i="24" a="1"/>
  <c r="F108" i="24" l="1"/>
  <c r="E108" i="24"/>
  <c r="G108" i="24"/>
  <c r="E109" i="24" a="1"/>
  <c r="F109" i="24" l="1"/>
  <c r="E109" i="24"/>
  <c r="G109" i="24"/>
  <c r="E110" i="24" a="1"/>
  <c r="F110" i="24" l="1"/>
  <c r="E110" i="24"/>
  <c r="G110" i="24"/>
  <c r="E111" i="24" a="1"/>
  <c r="F111" i="24" l="1"/>
  <c r="E111" i="24"/>
  <c r="G111" i="24"/>
  <c r="E112" i="24" a="1"/>
  <c r="F112" i="24" l="1"/>
  <c r="E112" i="24"/>
  <c r="G112" i="24"/>
  <c r="E113" i="24" a="1"/>
  <c r="E113" i="24" l="1"/>
  <c r="F113" i="24"/>
  <c r="G113" i="24"/>
  <c r="E114" i="24" a="1"/>
  <c r="F114" i="24" l="1"/>
  <c r="E114" i="24"/>
  <c r="G114" i="24"/>
  <c r="E115" i="24" a="1"/>
  <c r="F115" i="24" l="1"/>
  <c r="E115" i="24"/>
  <c r="G115" i="24"/>
  <c r="E116" i="24" a="1"/>
  <c r="F116" i="24" l="1"/>
  <c r="E116" i="24"/>
  <c r="G116" i="24"/>
  <c r="E117" i="24" a="1"/>
  <c r="F117" i="24" l="1"/>
  <c r="E117" i="24"/>
  <c r="G117" i="24"/>
  <c r="E118" i="24" a="1"/>
  <c r="F118" i="24" l="1"/>
  <c r="E118" i="24"/>
  <c r="G118" i="24"/>
  <c r="E119" i="24" a="1"/>
  <c r="E119" i="24" l="1"/>
  <c r="F119" i="24"/>
  <c r="G119" i="24"/>
  <c r="E120" i="24" a="1"/>
  <c r="F120" i="24" l="1"/>
  <c r="E120" i="24"/>
  <c r="G120" i="24"/>
  <c r="E121" i="24" a="1"/>
  <c r="F121" i="24" l="1"/>
  <c r="E121" i="24"/>
  <c r="G121" i="24"/>
  <c r="E122" i="24" a="1"/>
  <c r="E122" i="24" l="1"/>
  <c r="F122" i="24"/>
  <c r="G122" i="24"/>
  <c r="E123" i="24" a="1"/>
  <c r="F123" i="24" l="1"/>
  <c r="E123" i="24"/>
  <c r="G123" i="24"/>
  <c r="E124" i="24" a="1"/>
  <c r="F124" i="24" l="1"/>
  <c r="E124" i="24"/>
  <c r="G124" i="24"/>
  <c r="E125" i="24" a="1"/>
  <c r="F125" i="24" l="1"/>
  <c r="E125" i="24"/>
  <c r="G125" i="24"/>
  <c r="E126" i="24" a="1"/>
  <c r="E126" i="24" l="1"/>
  <c r="F126" i="24"/>
  <c r="G126" i="24"/>
  <c r="E127" i="24" a="1"/>
  <c r="E127" i="24" l="1"/>
  <c r="F127" i="24"/>
  <c r="G127" i="24"/>
  <c r="E128" i="24" a="1"/>
  <c r="F128" i="24" l="1"/>
  <c r="E128" i="24"/>
  <c r="G128" i="24"/>
  <c r="E129" i="24" a="1"/>
  <c r="E129" i="24" l="1"/>
  <c r="F129" i="24"/>
  <c r="G129" i="24"/>
  <c r="E130" i="24" a="1"/>
  <c r="F130" i="24" l="1"/>
  <c r="E130" i="24"/>
  <c r="G130" i="24"/>
  <c r="E131" i="24" a="1"/>
  <c r="F131" i="24" l="1"/>
  <c r="E131" i="24"/>
  <c r="G131" i="24"/>
  <c r="E132" i="24" a="1"/>
  <c r="F132" i="24" l="1"/>
  <c r="E132" i="24"/>
  <c r="G132" i="24"/>
  <c r="E133" i="24" a="1"/>
  <c r="F133" i="24" l="1"/>
  <c r="E133" i="24"/>
  <c r="G133" i="24"/>
  <c r="E134" i="24" a="1"/>
  <c r="E134" i="24" l="1"/>
  <c r="F134" i="24"/>
  <c r="G134" i="24"/>
  <c r="E135" i="24" a="1"/>
  <c r="F135" i="24" l="1"/>
  <c r="E135" i="24"/>
  <c r="G135" i="24"/>
  <c r="E136" i="24" a="1"/>
  <c r="E136" i="24" l="1"/>
  <c r="F136" i="24"/>
  <c r="G136" i="24"/>
  <c r="E137" i="24" a="1"/>
  <c r="F137" i="24" l="1"/>
  <c r="E137" i="24"/>
  <c r="G137" i="24"/>
  <c r="E138" i="24" a="1"/>
  <c r="F138" i="24" l="1"/>
  <c r="E138" i="24"/>
  <c r="G138" i="24"/>
  <c r="E139" i="24" a="1"/>
  <c r="F139" i="24" l="1"/>
  <c r="E139" i="24"/>
  <c r="G139" i="24"/>
  <c r="E140" i="24" a="1"/>
  <c r="E140" i="24" l="1"/>
  <c r="F140" i="24"/>
  <c r="G140" i="24"/>
  <c r="E141" i="24" a="1"/>
  <c r="F141" i="24" l="1"/>
  <c r="E141" i="24"/>
  <c r="G141" i="24"/>
  <c r="E142" i="24" a="1"/>
  <c r="F142" i="24" l="1"/>
  <c r="E142" i="24"/>
  <c r="G142" i="24"/>
  <c r="E143" i="24" a="1"/>
  <c r="F143" i="24" l="1"/>
  <c r="E143" i="24"/>
  <c r="G143" i="24"/>
  <c r="E144" i="24" a="1"/>
  <c r="E144" i="24" l="1"/>
  <c r="F144" i="24"/>
  <c r="G144" i="24"/>
  <c r="E145" i="24" a="1"/>
  <c r="F145" i="24" l="1"/>
  <c r="E145" i="24"/>
  <c r="G145" i="24"/>
  <c r="E146" i="24" a="1"/>
  <c r="F146" i="24" l="1"/>
  <c r="E146" i="24"/>
  <c r="G146" i="24"/>
  <c r="E147" i="24" a="1"/>
  <c r="F147" i="24" l="1"/>
  <c r="E147" i="24"/>
  <c r="G147" i="24"/>
  <c r="E148" i="24" a="1"/>
  <c r="E148" i="24" l="1"/>
  <c r="F148" i="24"/>
  <c r="G148" i="24"/>
  <c r="E149" i="24" a="1"/>
  <c r="F149" i="24" l="1"/>
  <c r="E149" i="24"/>
  <c r="G149" i="24"/>
  <c r="E150" i="24" a="1"/>
  <c r="E150" i="24" l="1"/>
  <c r="F150" i="24"/>
  <c r="G150" i="24"/>
  <c r="E151" i="24" a="1"/>
  <c r="F151" i="24" l="1"/>
  <c r="E151" i="24"/>
  <c r="G151" i="24"/>
  <c r="E152" i="24" a="1"/>
  <c r="F152" i="24" l="1"/>
  <c r="E152" i="24"/>
  <c r="G152" i="24"/>
  <c r="E153" i="24" a="1"/>
  <c r="F153" i="24" l="1"/>
  <c r="E153" i="24"/>
  <c r="G153" i="24"/>
  <c r="E154" i="24" a="1"/>
  <c r="E154" i="24" l="1"/>
  <c r="F154" i="24"/>
  <c r="G154" i="24"/>
  <c r="E155" i="24" a="1"/>
  <c r="F155" i="24" l="1"/>
  <c r="E155" i="24"/>
  <c r="G155" i="24"/>
  <c r="E156" i="24" a="1"/>
  <c r="F156" i="24" l="1"/>
  <c r="E156" i="24"/>
  <c r="G156" i="24"/>
  <c r="E157" i="24" a="1"/>
  <c r="F157" i="24" l="1"/>
  <c r="E157" i="24"/>
  <c r="G157" i="24"/>
  <c r="E158" i="24" a="1"/>
  <c r="F158" i="24" l="1"/>
  <c r="E158" i="24"/>
  <c r="G158" i="24"/>
  <c r="E159" i="24" a="1"/>
  <c r="F159" i="24" l="1"/>
  <c r="E159" i="24"/>
  <c r="G159" i="24"/>
  <c r="E160" i="24" a="1"/>
  <c r="F160" i="24" l="1"/>
  <c r="E160" i="24"/>
  <c r="G160" i="24"/>
  <c r="E161" i="24" a="1"/>
  <c r="F161" i="24" l="1"/>
  <c r="E161" i="24"/>
  <c r="G161" i="24"/>
  <c r="E162" i="24" a="1"/>
  <c r="F162" i="24" l="1"/>
  <c r="E162" i="24"/>
  <c r="G162" i="24"/>
  <c r="E163" i="24" a="1"/>
  <c r="F163" i="24" l="1"/>
  <c r="E163" i="24"/>
  <c r="G163" i="24"/>
  <c r="E164" i="24" a="1"/>
  <c r="F164" i="24" l="1"/>
  <c r="E164" i="24"/>
  <c r="G164" i="24"/>
  <c r="E165" i="24" a="1"/>
  <c r="F165" i="24" l="1"/>
  <c r="E165" i="24"/>
  <c r="G165" i="24"/>
  <c r="E166" i="24" a="1"/>
  <c r="F166" i="24" l="1"/>
  <c r="E166" i="24"/>
  <c r="G166" i="24"/>
  <c r="E167" i="24" a="1"/>
  <c r="F167" i="24" l="1"/>
  <c r="E167" i="24"/>
  <c r="G167" i="24"/>
  <c r="E168" i="24" a="1"/>
  <c r="E168" i="24" l="1"/>
  <c r="F168" i="24"/>
  <c r="G168" i="24"/>
  <c r="E169" i="24" a="1"/>
  <c r="F169" i="24" l="1"/>
  <c r="E169" i="24"/>
  <c r="G169" i="24"/>
  <c r="E170" i="24" a="1"/>
  <c r="F170" i="24" l="1"/>
  <c r="E170" i="24"/>
  <c r="G170" i="24"/>
  <c r="E171" i="24" a="1"/>
  <c r="F171" i="24" l="1"/>
  <c r="E171" i="24"/>
  <c r="G171" i="24"/>
  <c r="E172" i="24" a="1"/>
  <c r="F172" i="24" l="1"/>
  <c r="E172" i="24"/>
  <c r="G172" i="24"/>
  <c r="E173" i="24" a="1"/>
  <c r="F173" i="24" l="1"/>
  <c r="E173" i="24"/>
  <c r="G173" i="24"/>
  <c r="E174" i="24" a="1"/>
  <c r="F174" i="24" l="1"/>
  <c r="E174" i="24"/>
  <c r="G174" i="24"/>
  <c r="E175" i="24" a="1"/>
  <c r="F175" i="24" l="1"/>
  <c r="E175" i="24"/>
  <c r="G175" i="24"/>
  <c r="E176" i="24" a="1"/>
  <c r="F176" i="24" l="1"/>
  <c r="E176" i="24"/>
  <c r="G176" i="24"/>
  <c r="E177" i="24" a="1"/>
  <c r="E177" i="24" l="1"/>
  <c r="F177" i="24"/>
  <c r="G177" i="24"/>
  <c r="E178" i="24" a="1"/>
  <c r="E178" i="24" l="1"/>
  <c r="F178" i="24"/>
  <c r="G178" i="24"/>
  <c r="E179" i="24" a="1"/>
  <c r="F179" i="24" l="1"/>
  <c r="E179" i="24"/>
  <c r="G179" i="24"/>
  <c r="E180" i="24" a="1"/>
  <c r="F180" i="24" l="1"/>
  <c r="E180" i="24"/>
  <c r="G180" i="24"/>
  <c r="E181" i="24" a="1"/>
  <c r="E181" i="24" l="1"/>
  <c r="F181" i="24"/>
  <c r="G181" i="24"/>
  <c r="E182" i="24" a="1"/>
  <c r="F182" i="24" l="1"/>
  <c r="E182" i="24"/>
  <c r="G182" i="24"/>
  <c r="E183" i="24" a="1"/>
  <c r="F183" i="24" l="1"/>
  <c r="E183" i="24"/>
  <c r="G183" i="24"/>
  <c r="E184" i="24" a="1"/>
  <c r="F184" i="24" l="1"/>
  <c r="E184" i="24"/>
  <c r="G184" i="24"/>
  <c r="E185" i="24" a="1"/>
  <c r="F185" i="24" l="1"/>
  <c r="E185" i="24"/>
  <c r="G185" i="24"/>
  <c r="E186" i="24" a="1"/>
  <c r="F186" i="24" l="1"/>
  <c r="E186" i="24"/>
  <c r="G186" i="24"/>
  <c r="E187" i="24" a="1"/>
  <c r="F187" i="24" l="1"/>
  <c r="E187" i="24"/>
  <c r="G187" i="24"/>
  <c r="E188" i="24" a="1"/>
  <c r="F188" i="24" l="1"/>
  <c r="E188" i="24"/>
  <c r="G188" i="24"/>
  <c r="E189" i="24" a="1"/>
  <c r="F189" i="24" l="1"/>
  <c r="E189" i="24"/>
  <c r="G189" i="24"/>
  <c r="E190" i="24" a="1"/>
  <c r="F190" i="24" l="1"/>
  <c r="E190" i="24"/>
  <c r="G190" i="24"/>
  <c r="E191" i="24" a="1"/>
  <c r="F191" i="24" l="1"/>
  <c r="E191" i="24"/>
  <c r="G191" i="24"/>
  <c r="E192" i="24" a="1"/>
  <c r="E192" i="24" l="1"/>
  <c r="F192" i="24"/>
  <c r="G192" i="24"/>
  <c r="E193" i="24" a="1"/>
  <c r="F193" i="24" l="1"/>
  <c r="E193" i="24"/>
  <c r="G193" i="24"/>
  <c r="E194" i="24" a="1"/>
  <c r="F194" i="24" l="1"/>
  <c r="E194" i="24"/>
  <c r="G194" i="24"/>
  <c r="E195" i="24" a="1"/>
  <c r="E195" i="24" l="1"/>
  <c r="F195" i="24"/>
  <c r="G195" i="24"/>
  <c r="E196" i="24" a="1"/>
  <c r="F196" i="24" l="1"/>
  <c r="E196" i="24"/>
  <c r="G196" i="24"/>
  <c r="E197" i="24" a="1"/>
  <c r="F197" i="24" l="1"/>
  <c r="E197" i="24"/>
  <c r="G197" i="24"/>
  <c r="E198" i="24" a="1"/>
  <c r="F198" i="24" l="1"/>
  <c r="E198" i="24"/>
  <c r="G198" i="24"/>
  <c r="E199" i="24" a="1"/>
  <c r="F199" i="24" l="1"/>
  <c r="E199" i="24"/>
  <c r="G199" i="24"/>
  <c r="E200" i="24" a="1"/>
  <c r="E200" i="24" l="1"/>
  <c r="F200" i="24"/>
  <c r="G200" i="24"/>
  <c r="E201" i="24" a="1"/>
  <c r="E201" i="24" l="1"/>
  <c r="F201" i="24"/>
  <c r="G201" i="24"/>
  <c r="E202" i="24" a="1"/>
  <c r="F202" i="24" l="1"/>
  <c r="E202" i="24"/>
  <c r="G202" i="24"/>
  <c r="E203" i="24" a="1"/>
  <c r="F203" i="24" l="1"/>
  <c r="E203" i="24"/>
  <c r="G203" i="24"/>
  <c r="E204" i="24" a="1"/>
  <c r="F204" i="24" l="1"/>
  <c r="E204" i="24"/>
  <c r="G204" i="24"/>
  <c r="E205" i="24" a="1"/>
  <c r="F205" i="24" l="1"/>
  <c r="E205" i="24"/>
  <c r="G205" i="24"/>
  <c r="E206" i="24" a="1"/>
  <c r="F206" i="24" l="1"/>
  <c r="E206" i="24"/>
  <c r="G206" i="24"/>
  <c r="E207" i="24" a="1"/>
  <c r="F207" i="24" l="1"/>
  <c r="E207" i="24"/>
  <c r="G207" i="24"/>
  <c r="E208" i="24" a="1"/>
  <c r="E208" i="24" l="1"/>
  <c r="F208" i="24"/>
  <c r="G208" i="24"/>
  <c r="E209" i="24" a="1"/>
  <c r="F209" i="24" l="1"/>
  <c r="E209" i="24"/>
  <c r="G209" i="24"/>
  <c r="E210" i="24" a="1"/>
  <c r="F210" i="24" l="1"/>
  <c r="E210" i="24"/>
  <c r="G210" i="24"/>
  <c r="E211" i="24" a="1"/>
  <c r="F211" i="24" l="1"/>
  <c r="E211" i="24"/>
  <c r="G211" i="24"/>
  <c r="E212" i="24" a="1"/>
  <c r="F212" i="24" l="1"/>
  <c r="E212" i="24"/>
  <c r="G212" i="24"/>
  <c r="E213" i="24" a="1"/>
  <c r="F213" i="24" l="1"/>
  <c r="E213" i="24"/>
  <c r="G213" i="24"/>
  <c r="E214" i="24" a="1"/>
  <c r="F214" i="24" l="1"/>
  <c r="E214" i="24"/>
  <c r="G214" i="24"/>
  <c r="E215" i="24" a="1"/>
  <c r="F215" i="24" l="1"/>
  <c r="E215" i="24"/>
  <c r="G215" i="24"/>
  <c r="E216" i="24" a="1"/>
  <c r="E216" i="24" l="1"/>
  <c r="F216" i="24"/>
  <c r="G216" i="24"/>
  <c r="E217" i="24" a="1"/>
  <c r="F217" i="24" l="1"/>
  <c r="E217" i="24"/>
  <c r="G217" i="24"/>
  <c r="E218" i="24" a="1"/>
  <c r="F218" i="24" l="1"/>
  <c r="E218" i="24"/>
  <c r="G218" i="24"/>
  <c r="E219" i="24" a="1"/>
  <c r="E219" i="24" l="1"/>
  <c r="F219" i="24"/>
  <c r="G219" i="24"/>
  <c r="E220" i="24" a="1"/>
  <c r="F220" i="24" l="1"/>
  <c r="E220" i="24"/>
  <c r="G220" i="24"/>
  <c r="E221" i="24" a="1"/>
  <c r="E221" i="24" l="1"/>
  <c r="F221" i="24"/>
  <c r="G221" i="24"/>
  <c r="E222" i="24" a="1"/>
  <c r="F222" i="24" l="1"/>
  <c r="E222" i="24"/>
  <c r="G222" i="24"/>
  <c r="E223" i="24" a="1"/>
  <c r="F223" i="24" l="1"/>
  <c r="E223" i="24"/>
  <c r="G223" i="24"/>
  <c r="E224" i="24" a="1"/>
  <c r="E224" i="24" l="1"/>
  <c r="F224" i="24"/>
  <c r="G224" i="24"/>
  <c r="E225" i="24" a="1"/>
  <c r="F225" i="24" l="1"/>
  <c r="E225" i="24"/>
  <c r="G225" i="24"/>
  <c r="E226" i="24" a="1"/>
  <c r="F226" i="24" l="1"/>
  <c r="E226" i="24"/>
  <c r="G226" i="24"/>
  <c r="E227" i="24" a="1"/>
  <c r="F227" i="24" l="1"/>
  <c r="E227" i="24"/>
  <c r="G227" i="24"/>
  <c r="E228" i="24" a="1"/>
  <c r="F228" i="24" l="1"/>
  <c r="E228" i="24"/>
  <c r="G228" i="24"/>
  <c r="E229" i="24" a="1"/>
  <c r="F229" i="24" l="1"/>
  <c r="E229" i="24"/>
  <c r="G229" i="24"/>
  <c r="E230" i="24" a="1"/>
  <c r="E230" i="24" l="1"/>
  <c r="F230" i="24"/>
  <c r="G230" i="24"/>
  <c r="E231" i="24" a="1"/>
  <c r="E231" i="24" l="1"/>
  <c r="F231" i="24"/>
  <c r="G231" i="24"/>
  <c r="E232" i="24" a="1"/>
  <c r="E232" i="24" l="1"/>
  <c r="F232" i="24"/>
  <c r="G232" i="24"/>
  <c r="E233" i="24" a="1"/>
  <c r="E233" i="24" l="1"/>
  <c r="F233" i="24"/>
  <c r="G233" i="24"/>
  <c r="E234" i="24" a="1"/>
  <c r="F234" i="24" l="1"/>
  <c r="E234" i="24"/>
  <c r="G234" i="24"/>
  <c r="E235" i="24" a="1"/>
  <c r="F235" i="24" l="1"/>
  <c r="E235" i="24"/>
  <c r="G235" i="24"/>
  <c r="E236" i="24" a="1"/>
  <c r="E236" i="24" l="1"/>
  <c r="F236" i="24"/>
  <c r="G236" i="24"/>
  <c r="E237" i="24" a="1"/>
  <c r="F237" i="24" l="1"/>
  <c r="E237" i="24"/>
  <c r="G237" i="24"/>
  <c r="E238" i="24" a="1"/>
  <c r="F238" i="24" l="1"/>
  <c r="E238" i="24"/>
  <c r="G238" i="24"/>
  <c r="E239" i="24" a="1"/>
  <c r="F239" i="24" l="1"/>
  <c r="E239" i="24"/>
  <c r="G239" i="24"/>
  <c r="E240" i="24" a="1"/>
  <c r="F240" i="24" l="1"/>
  <c r="E240" i="24"/>
  <c r="G240" i="24"/>
  <c r="E241" i="24" a="1"/>
  <c r="F241" i="24" l="1"/>
  <c r="E241" i="24"/>
  <c r="G241" i="24"/>
  <c r="E242" i="24" a="1"/>
  <c r="E242" i="24" l="1"/>
  <c r="F242" i="24"/>
  <c r="G242" i="24"/>
  <c r="E243" i="24" a="1"/>
  <c r="F243" i="24" l="1"/>
  <c r="E243" i="24"/>
  <c r="G243" i="24"/>
  <c r="E244" i="24" a="1"/>
  <c r="E244" i="24" l="1"/>
  <c r="F244" i="24"/>
  <c r="G244" i="24"/>
  <c r="E245" i="24" a="1"/>
  <c r="E245" i="24" l="1"/>
  <c r="F245" i="24"/>
  <c r="G245" i="24"/>
  <c r="E246" i="24" a="1"/>
  <c r="F246" i="24" l="1"/>
  <c r="E246" i="24"/>
  <c r="G246" i="24"/>
  <c r="E247" i="24" a="1"/>
  <c r="F247" i="24" l="1"/>
  <c r="E247" i="24"/>
  <c r="G247" i="24"/>
  <c r="E248" i="24" a="1"/>
  <c r="F248" i="24" l="1"/>
  <c r="E248" i="24"/>
  <c r="G248" i="24"/>
  <c r="E249" i="24" a="1"/>
  <c r="E249" i="24" l="1"/>
  <c r="F249" i="24"/>
  <c r="G249" i="24"/>
  <c r="E250" i="24" a="1"/>
  <c r="F250" i="24" l="1"/>
  <c r="E250" i="24"/>
  <c r="G250" i="24"/>
  <c r="E251" i="24" a="1"/>
  <c r="F251" i="24" l="1"/>
  <c r="E251" i="24"/>
  <c r="G251" i="24"/>
  <c r="E252" i="24" a="1"/>
  <c r="F252" i="24" l="1"/>
  <c r="E252" i="24"/>
  <c r="G252" i="24"/>
  <c r="E253" i="24" a="1"/>
  <c r="F253" i="24" l="1"/>
  <c r="E253" i="24"/>
  <c r="G253" i="24"/>
  <c r="E254" i="24" a="1"/>
  <c r="G254" i="24"/>
  <c r="E255" i="24" a="1"/>
  <c r="E255" i="24" l="1"/>
  <c r="F255" i="24"/>
  <c r="G255" i="24"/>
  <c r="E256" i="24" a="1"/>
  <c r="E256" i="24" l="1"/>
  <c r="F256" i="24"/>
  <c r="G256" i="24"/>
  <c r="E257" i="24" a="1"/>
  <c r="F257" i="24" l="1"/>
  <c r="E257" i="24"/>
  <c r="G257" i="24"/>
  <c r="E258" i="24" a="1"/>
  <c r="E258" i="24" l="1"/>
  <c r="F258" i="24"/>
  <c r="G258" i="24"/>
  <c r="E259" i="24" a="1"/>
  <c r="F259" i="24" l="1"/>
  <c r="E259" i="24"/>
  <c r="G259" i="24"/>
  <c r="E260" i="24" a="1"/>
  <c r="F260" i="24" l="1"/>
  <c r="E260" i="24"/>
  <c r="G260" i="24"/>
  <c r="E261" i="24" a="1"/>
  <c r="F261" i="24" l="1"/>
  <c r="E261" i="24"/>
  <c r="G261" i="24"/>
  <c r="E262" i="24" a="1"/>
  <c r="F262" i="24" l="1"/>
  <c r="E262" i="24"/>
  <c r="G262" i="24"/>
  <c r="E263" i="24" a="1"/>
  <c r="E263" i="24" l="1"/>
  <c r="F263" i="24"/>
  <c r="G263" i="24"/>
  <c r="E264" i="24" a="1"/>
  <c r="F264" i="24" l="1"/>
  <c r="E264" i="24"/>
  <c r="G264" i="24"/>
  <c r="E265" i="24" a="1"/>
  <c r="F265" i="24" l="1"/>
  <c r="E265" i="24"/>
  <c r="G265" i="24"/>
  <c r="E266" i="24" a="1"/>
  <c r="E266" i="24" l="1"/>
  <c r="F266" i="24"/>
  <c r="G266" i="24"/>
  <c r="E267" i="24" a="1"/>
  <c r="F267" i="24" l="1"/>
  <c r="E267" i="24"/>
  <c r="G267" i="24"/>
  <c r="E268" i="24" a="1"/>
  <c r="E268" i="24" l="1"/>
  <c r="F268" i="24"/>
  <c r="G268" i="24"/>
  <c r="E269" i="24" a="1"/>
  <c r="F269" i="24" l="1"/>
  <c r="E269" i="24"/>
  <c r="G269" i="24"/>
  <c r="E270" i="24" a="1"/>
  <c r="E270" i="24" l="1"/>
  <c r="F270" i="24"/>
  <c r="G270" i="24"/>
  <c r="E271" i="24" a="1"/>
  <c r="F271" i="24" l="1"/>
  <c r="E271" i="24"/>
  <c r="G271" i="24"/>
  <c r="E272" i="24" a="1"/>
  <c r="F272" i="24" l="1"/>
  <c r="E272" i="24"/>
  <c r="G272" i="24"/>
  <c r="E273" i="24" a="1"/>
  <c r="F273" i="24" l="1"/>
  <c r="E273" i="24"/>
  <c r="G273" i="24"/>
  <c r="E274" i="24" a="1"/>
  <c r="F274" i="24" l="1"/>
  <c r="E274" i="24"/>
  <c r="G274" i="24"/>
  <c r="E275" i="24" a="1"/>
  <c r="F275" i="24" l="1"/>
  <c r="E275" i="24"/>
  <c r="G275" i="24"/>
  <c r="E276" i="24" a="1"/>
  <c r="F276" i="24" l="1"/>
  <c r="E276" i="24"/>
  <c r="G276" i="24"/>
  <c r="E277" i="24" a="1"/>
  <c r="F277" i="24" l="1"/>
  <c r="E277" i="24"/>
  <c r="G277" i="24"/>
  <c r="E278" i="24" a="1"/>
  <c r="E278" i="24" l="1"/>
  <c r="F278" i="24"/>
  <c r="G278" i="24"/>
  <c r="E279" i="24" a="1"/>
  <c r="E279" i="24" l="1"/>
  <c r="F279" i="24"/>
  <c r="G279" i="24"/>
  <c r="E280" i="24" a="1"/>
  <c r="E280" i="24" l="1"/>
  <c r="F280" i="24"/>
  <c r="G280" i="24"/>
  <c r="E281" i="24" a="1"/>
  <c r="E281" i="24" l="1"/>
  <c r="F281" i="24"/>
  <c r="G281" i="24"/>
  <c r="E282" i="24" a="1"/>
  <c r="E282" i="24" l="1"/>
  <c r="F282" i="24"/>
  <c r="G282" i="24"/>
  <c r="E283" i="24" a="1"/>
  <c r="F283" i="24" l="1"/>
  <c r="E283" i="24"/>
  <c r="G283" i="24"/>
  <c r="E284" i="24" a="1"/>
  <c r="E284" i="24" l="1"/>
  <c r="F284" i="24"/>
  <c r="G284" i="24"/>
  <c r="E285" i="24" a="1"/>
  <c r="E285" i="24" l="1"/>
  <c r="F285" i="24"/>
  <c r="G285" i="24"/>
  <c r="E286" i="24" a="1"/>
  <c r="F286" i="24" l="1"/>
  <c r="E286" i="24"/>
  <c r="G286" i="24"/>
  <c r="E287" i="24" a="1"/>
  <c r="F287" i="24" l="1"/>
  <c r="E287" i="24"/>
  <c r="G287" i="24"/>
  <c r="E288" i="24" a="1"/>
  <c r="E288" i="24" l="1"/>
  <c r="F288" i="24"/>
  <c r="G288" i="24"/>
  <c r="E289" i="24" a="1"/>
  <c r="F289" i="24" l="1"/>
  <c r="E289" i="24"/>
  <c r="G289" i="24"/>
  <c r="E290" i="24" a="1"/>
  <c r="F290" i="24" l="1"/>
  <c r="E290" i="24"/>
  <c r="G290" i="24"/>
  <c r="E291" i="24" a="1"/>
  <c r="F291" i="24" l="1"/>
  <c r="E291" i="24"/>
  <c r="G291" i="24"/>
  <c r="E292" i="24" a="1"/>
  <c r="F292" i="24" l="1"/>
  <c r="E292" i="24"/>
  <c r="G292" i="24"/>
  <c r="E293" i="24" a="1"/>
  <c r="E293" i="24" l="1"/>
  <c r="F293" i="24"/>
  <c r="G293" i="24"/>
  <c r="E294" i="24" a="1"/>
  <c r="E294" i="24" l="1"/>
  <c r="F294" i="24"/>
  <c r="G294" i="24"/>
  <c r="E295" i="24" a="1"/>
  <c r="F295" i="24" l="1"/>
  <c r="E295" i="24"/>
  <c r="G295" i="24"/>
  <c r="E296" i="24" a="1"/>
  <c r="F296" i="24" l="1"/>
  <c r="E296" i="24"/>
  <c r="G296" i="24"/>
  <c r="E297" i="24" a="1"/>
  <c r="F297" i="24" l="1"/>
  <c r="E297" i="24"/>
  <c r="G297" i="24"/>
  <c r="E298" i="24" a="1"/>
  <c r="F298" i="24" l="1"/>
  <c r="E298" i="24"/>
  <c r="G298" i="24"/>
  <c r="E299" i="24" a="1"/>
  <c r="F299" i="24" l="1"/>
  <c r="E299" i="24"/>
  <c r="G299" i="24"/>
  <c r="E300" i="24" a="1"/>
  <c r="F300" i="24" l="1"/>
  <c r="E300" i="24"/>
  <c r="G300" i="24"/>
  <c r="E301" i="24" a="1"/>
  <c r="E301" i="24" l="1"/>
  <c r="F301" i="24"/>
  <c r="G301" i="24"/>
  <c r="E302" i="24" a="1"/>
  <c r="F302" i="24" l="1"/>
  <c r="E302" i="24"/>
  <c r="G302" i="24"/>
  <c r="E303" i="24" a="1"/>
  <c r="E303" i="24" l="1"/>
  <c r="F303" i="24"/>
  <c r="G303" i="24"/>
  <c r="E304" i="24" a="1"/>
  <c r="F304" i="24" l="1"/>
  <c r="E304" i="24"/>
  <c r="G304" i="24"/>
  <c r="E305" i="24" a="1"/>
  <c r="F305" i="24" l="1"/>
  <c r="E305" i="24"/>
  <c r="G305" i="24"/>
  <c r="E306" i="24" a="1"/>
  <c r="E306" i="24" l="1"/>
  <c r="F306" i="24"/>
  <c r="G306" i="24"/>
  <c r="E307" i="24" a="1"/>
  <c r="F307" i="24" l="1"/>
  <c r="E307" i="24"/>
  <c r="G307" i="24"/>
  <c r="E308" i="24" a="1"/>
  <c r="F308" i="24" l="1"/>
  <c r="E308" i="24"/>
  <c r="G308" i="24"/>
  <c r="E309" i="24" a="1"/>
  <c r="F309" i="24" l="1"/>
  <c r="E309" i="24"/>
  <c r="G309" i="24"/>
  <c r="E310" i="24" a="1"/>
  <c r="F310" i="24" l="1"/>
  <c r="E310" i="24"/>
  <c r="G310" i="24"/>
  <c r="E311" i="24" a="1"/>
  <c r="F311" i="24" l="1"/>
  <c r="E311" i="24"/>
  <c r="G311" i="24"/>
  <c r="E312" i="24" a="1"/>
  <c r="F312" i="24" l="1"/>
  <c r="E312" i="24"/>
  <c r="G312" i="24"/>
  <c r="E313" i="24" a="1"/>
  <c r="F313" i="24" l="1"/>
  <c r="E313" i="24"/>
  <c r="G313" i="24"/>
  <c r="E314" i="24" a="1"/>
  <c r="E314" i="24" l="1"/>
  <c r="F314" i="24"/>
  <c r="G314" i="24"/>
  <c r="E315" i="24" a="1"/>
  <c r="F315" i="24" l="1"/>
  <c r="E315" i="24"/>
  <c r="G315" i="24"/>
  <c r="E316" i="24" a="1"/>
  <c r="E316" i="24" l="1"/>
  <c r="F316" i="24"/>
  <c r="G316" i="24"/>
  <c r="E317" i="24" a="1"/>
  <c r="F317" i="24" l="1"/>
  <c r="E317" i="24"/>
  <c r="G317" i="24"/>
  <c r="E318" i="24" a="1"/>
  <c r="F318" i="24" l="1"/>
  <c r="E318" i="24"/>
  <c r="G318" i="24"/>
  <c r="E319" i="24" a="1"/>
  <c r="F319" i="24" l="1"/>
  <c r="E319" i="24"/>
  <c r="G319" i="24"/>
  <c r="E320" i="24" a="1"/>
  <c r="F320" i="24" l="1"/>
  <c r="E320" i="24"/>
  <c r="G320" i="24"/>
  <c r="E321" i="24" a="1"/>
  <c r="F321" i="24" l="1"/>
  <c r="E321" i="24"/>
  <c r="G321" i="24"/>
  <c r="E322" i="24" a="1"/>
  <c r="F322" i="24" l="1"/>
  <c r="E322" i="24"/>
  <c r="G322" i="24"/>
  <c r="E323" i="24" a="1"/>
  <c r="F323" i="24" l="1"/>
  <c r="E323" i="24"/>
  <c r="G323" i="24"/>
  <c r="E324" i="24" a="1"/>
  <c r="E324" i="24" l="1"/>
  <c r="F324" i="24"/>
  <c r="G324" i="24"/>
  <c r="E325" i="24" a="1"/>
  <c r="F325" i="24" l="1"/>
  <c r="E325" i="24"/>
  <c r="G325" i="24"/>
  <c r="E326" i="24" a="1"/>
  <c r="F326" i="24" l="1"/>
  <c r="E326" i="24"/>
  <c r="G326" i="24"/>
  <c r="E327" i="24" a="1"/>
  <c r="E327" i="24" l="1"/>
  <c r="F327" i="24"/>
  <c r="G327" i="24"/>
  <c r="E328" i="24" a="1"/>
  <c r="E328" i="24" l="1"/>
  <c r="F328" i="24"/>
  <c r="G328" i="24"/>
  <c r="E329" i="24" a="1"/>
  <c r="F329" i="24" l="1"/>
  <c r="E329" i="24"/>
  <c r="G329" i="24"/>
  <c r="E330" i="24" a="1"/>
  <c r="F330" i="24" l="1"/>
  <c r="E330" i="24"/>
  <c r="G330" i="24"/>
  <c r="E331" i="24" a="1"/>
  <c r="E331" i="24" l="1"/>
  <c r="F331" i="24"/>
  <c r="G331" i="24"/>
  <c r="E332" i="24" a="1"/>
  <c r="F332" i="24" l="1"/>
  <c r="E332" i="24"/>
  <c r="G332" i="24"/>
  <c r="E333" i="24" a="1"/>
  <c r="E333" i="24" l="1"/>
  <c r="F333" i="24"/>
  <c r="G333" i="24"/>
  <c r="E334" i="24" a="1"/>
  <c r="F334" i="24" l="1"/>
  <c r="E334" i="24"/>
  <c r="G334" i="24"/>
  <c r="E335" i="24" a="1"/>
  <c r="F335" i="24" l="1"/>
  <c r="E335" i="24"/>
  <c r="G335" i="24"/>
  <c r="E336" i="24" a="1"/>
  <c r="E336" i="24" l="1"/>
  <c r="F336" i="24"/>
  <c r="G336" i="24"/>
  <c r="E337" i="24" a="1"/>
  <c r="F337" i="24" l="1"/>
  <c r="E337" i="24"/>
  <c r="G337" i="24"/>
  <c r="E338" i="24" a="1"/>
  <c r="F338" i="24" l="1"/>
  <c r="E338" i="24"/>
  <c r="G338" i="24"/>
  <c r="E339" i="24" a="1"/>
  <c r="F339" i="24" l="1"/>
  <c r="E339" i="24"/>
  <c r="G339" i="24"/>
  <c r="E340" i="24" a="1"/>
  <c r="E340" i="24" l="1"/>
  <c r="F340" i="24"/>
  <c r="G340" i="24"/>
  <c r="E341" i="24" a="1"/>
  <c r="F341" i="24" l="1"/>
  <c r="E341" i="24"/>
  <c r="G341" i="24"/>
  <c r="E342" i="24" a="1"/>
  <c r="F342" i="24" l="1"/>
  <c r="E342" i="24"/>
  <c r="G342" i="24"/>
  <c r="E343" i="24" a="1"/>
  <c r="F343" i="24" l="1"/>
  <c r="E343" i="24"/>
  <c r="G343" i="24"/>
  <c r="E344" i="24" a="1"/>
  <c r="E344" i="24" l="1"/>
  <c r="F344" i="24"/>
  <c r="G344" i="24"/>
  <c r="E345" i="24" a="1"/>
  <c r="F345" i="24" l="1"/>
  <c r="E345" i="24"/>
  <c r="G345" i="24"/>
  <c r="E346" i="24" a="1"/>
  <c r="F346" i="24" l="1"/>
  <c r="E346" i="24"/>
  <c r="G346" i="24"/>
  <c r="E347" i="24" a="1"/>
  <c r="E347" i="24" l="1"/>
  <c r="F347" i="24"/>
  <c r="G347" i="24"/>
  <c r="E348" i="24" a="1"/>
  <c r="E348" i="24" l="1"/>
  <c r="F348" i="24"/>
  <c r="G348" i="24"/>
  <c r="E349" i="24" a="1"/>
  <c r="F349" i="24" l="1"/>
  <c r="E349" i="24"/>
  <c r="G349" i="24"/>
  <c r="E350" i="24" a="1"/>
  <c r="F350" i="24" l="1"/>
  <c r="E350" i="24"/>
  <c r="G350" i="24"/>
  <c r="E351" i="24" a="1"/>
  <c r="F351" i="24" l="1"/>
  <c r="E351" i="24"/>
  <c r="G351" i="24"/>
  <c r="E352" i="24" a="1"/>
  <c r="E352" i="24" l="1"/>
  <c r="F352" i="24"/>
  <c r="G352" i="24"/>
  <c r="E353" i="24" a="1"/>
  <c r="E353" i="24" l="1"/>
  <c r="F353" i="24"/>
  <c r="G353" i="24"/>
  <c r="E354" i="24" a="1"/>
  <c r="F354" i="24" l="1"/>
  <c r="E354" i="24"/>
  <c r="G354" i="24"/>
  <c r="E355" i="24" a="1"/>
  <c r="E355" i="24" l="1"/>
  <c r="F355" i="24"/>
  <c r="G355" i="24"/>
  <c r="E356" i="24" a="1"/>
  <c r="F356" i="24" l="1"/>
  <c r="E356" i="24"/>
  <c r="G356" i="24"/>
  <c r="E357" i="24" a="1"/>
  <c r="F357" i="24" l="1"/>
  <c r="E357" i="24"/>
  <c r="G357" i="24"/>
  <c r="E358" i="24" a="1"/>
  <c r="F358" i="24" l="1"/>
  <c r="E358" i="24"/>
  <c r="G358" i="24"/>
  <c r="E359" i="24" a="1"/>
  <c r="F359" i="24" l="1"/>
  <c r="E359" i="24"/>
  <c r="G359" i="24"/>
  <c r="E360" i="24" a="1"/>
  <c r="F360" i="24" l="1"/>
  <c r="E360" i="24"/>
  <c r="G360" i="24"/>
  <c r="E361" i="24" a="1"/>
  <c r="F361" i="24" l="1"/>
  <c r="E361" i="24"/>
  <c r="G361" i="24"/>
  <c r="E362" i="24" a="1"/>
  <c r="F362" i="24" l="1"/>
  <c r="E362" i="24"/>
  <c r="G362" i="24"/>
  <c r="E363" i="24" a="1"/>
  <c r="F363" i="24" l="1"/>
  <c r="E363" i="24"/>
  <c r="G363" i="24"/>
  <c r="E364" i="24" a="1"/>
  <c r="F364" i="24" l="1"/>
  <c r="E364" i="24"/>
  <c r="G364" i="24"/>
  <c r="E365" i="24" a="1"/>
  <c r="F365" i="24" l="1"/>
  <c r="E365" i="24"/>
  <c r="G365" i="24"/>
  <c r="E366" i="24" a="1"/>
  <c r="E366" i="24" l="1"/>
  <c r="F366" i="24"/>
  <c r="G366" i="24"/>
  <c r="E367" i="24" a="1"/>
  <c r="E367" i="24" l="1"/>
  <c r="F367" i="24"/>
  <c r="G367" i="24"/>
  <c r="E368" i="24" a="1"/>
  <c r="F368" i="24" l="1"/>
  <c r="E368" i="24"/>
  <c r="G368" i="24"/>
  <c r="E369" i="24" a="1"/>
  <c r="E369" i="24" l="1"/>
  <c r="F369" i="24"/>
  <c r="G369" i="24"/>
  <c r="E370" i="24" a="1"/>
  <c r="F370" i="24" l="1"/>
  <c r="E370" i="24"/>
  <c r="G370" i="24"/>
  <c r="E371" i="24" a="1"/>
  <c r="F371" i="24" l="1"/>
  <c r="E371" i="24"/>
  <c r="G371" i="24"/>
  <c r="E372" i="24" a="1"/>
  <c r="F372" i="24" l="1"/>
  <c r="E372" i="24"/>
  <c r="G372" i="24"/>
  <c r="E373" i="24" a="1"/>
  <c r="F373" i="24" l="1"/>
  <c r="E373" i="24"/>
  <c r="G373" i="24"/>
  <c r="E374" i="24" a="1"/>
  <c r="F374" i="24" l="1"/>
  <c r="E374" i="24"/>
  <c r="G374" i="24"/>
  <c r="E375" i="24" a="1"/>
  <c r="F375" i="24" l="1"/>
  <c r="E375" i="24"/>
  <c r="G375" i="24"/>
  <c r="E376" i="24" a="1"/>
  <c r="F376" i="24" l="1"/>
  <c r="E376" i="24"/>
  <c r="G376" i="24"/>
  <c r="E377" i="24" a="1"/>
  <c r="F377" i="24" l="1"/>
  <c r="E377" i="24"/>
  <c r="G377" i="24"/>
  <c r="E378" i="24" a="1"/>
  <c r="F378" i="24" l="1"/>
  <c r="E378" i="24"/>
  <c r="G378" i="24"/>
  <c r="E379" i="24" a="1"/>
  <c r="F379" i="24" l="1"/>
  <c r="E379" i="24"/>
  <c r="G379" i="24"/>
  <c r="E380" i="24" a="1"/>
  <c r="E380" i="24" l="1"/>
  <c r="F380" i="24"/>
  <c r="G380" i="24"/>
  <c r="E381" i="24" a="1"/>
  <c r="F381" i="24" l="1"/>
  <c r="E381" i="24"/>
  <c r="G381" i="24"/>
  <c r="E382" i="24" a="1"/>
  <c r="F382" i="24" l="1"/>
  <c r="E382" i="24"/>
  <c r="G382" i="24"/>
  <c r="E383" i="24" a="1"/>
  <c r="F383" i="24" l="1"/>
  <c r="E383" i="24"/>
  <c r="G383" i="24"/>
  <c r="E384" i="24" a="1"/>
  <c r="E384" i="24" l="1"/>
  <c r="F384" i="24"/>
  <c r="G384" i="24"/>
  <c r="E385" i="24" a="1"/>
  <c r="F385" i="24" l="1"/>
  <c r="E385" i="24"/>
  <c r="G385" i="24"/>
  <c r="E386" i="24" a="1"/>
  <c r="E386" i="24" l="1"/>
  <c r="F386" i="24"/>
  <c r="G386" i="24"/>
  <c r="E387" i="24" a="1"/>
  <c r="F387" i="24" l="1"/>
  <c r="E387" i="24"/>
  <c r="G387" i="24"/>
  <c r="E388" i="24" a="1"/>
  <c r="F388" i="24" l="1"/>
  <c r="E388" i="24"/>
  <c r="G388" i="24"/>
  <c r="E389" i="24" a="1"/>
  <c r="F389" i="24" l="1"/>
  <c r="E389" i="24"/>
  <c r="G389" i="24"/>
  <c r="E390" i="24" a="1"/>
  <c r="E390" i="24" l="1"/>
  <c r="F390" i="24"/>
  <c r="G390" i="24"/>
  <c r="E391" i="24" a="1"/>
  <c r="F391" i="24" l="1"/>
  <c r="E391" i="24"/>
  <c r="G391" i="24"/>
  <c r="E392" i="24" a="1"/>
  <c r="F392" i="24" l="1"/>
  <c r="E392" i="24"/>
  <c r="G392" i="24"/>
  <c r="E393" i="24" a="1"/>
  <c r="F393" i="24" l="1"/>
  <c r="E393" i="24"/>
  <c r="G393" i="24"/>
  <c r="E394" i="24" a="1"/>
  <c r="F394" i="24" l="1"/>
  <c r="E394" i="24"/>
  <c r="G394" i="24"/>
  <c r="E395" i="24" a="1"/>
  <c r="F395" i="24" l="1"/>
  <c r="E395" i="24"/>
  <c r="G395" i="24"/>
  <c r="E396" i="24" a="1"/>
  <c r="F396" i="24" l="1"/>
  <c r="E396" i="24"/>
  <c r="G396" i="24"/>
  <c r="E397" i="24" a="1"/>
  <c r="F397" i="24" l="1"/>
  <c r="E397" i="24"/>
  <c r="G397" i="24"/>
  <c r="E398" i="24" a="1"/>
  <c r="F398" i="24" l="1"/>
  <c r="E398" i="24"/>
  <c r="G398" i="24"/>
  <c r="E399" i="24" a="1"/>
  <c r="E399" i="24" l="1"/>
  <c r="F399" i="24"/>
  <c r="G399" i="24"/>
  <c r="E400" i="24" a="1"/>
  <c r="F400" i="24" l="1"/>
  <c r="E400" i="24"/>
  <c r="G400" i="24"/>
  <c r="E401" i="24" a="1"/>
  <c r="F401" i="24" l="1"/>
  <c r="E401" i="24"/>
  <c r="G401" i="24"/>
  <c r="E402" i="24" a="1"/>
  <c r="F402" i="24" l="1"/>
  <c r="E402" i="24"/>
  <c r="G402" i="24"/>
  <c r="E403" i="24" a="1"/>
  <c r="F403" i="24" l="1"/>
  <c r="E403" i="24"/>
  <c r="G403" i="24"/>
  <c r="E404" i="24" a="1"/>
  <c r="E404" i="24" l="1"/>
  <c r="F404" i="24"/>
  <c r="G404" i="24"/>
  <c r="E405" i="24" a="1"/>
  <c r="F405" i="24" l="1"/>
  <c r="E405" i="24"/>
  <c r="G405" i="24"/>
  <c r="E406" i="24" a="1"/>
  <c r="F406" i="24" l="1"/>
  <c r="E406" i="24"/>
  <c r="G406" i="24"/>
  <c r="E407" i="24" a="1"/>
  <c r="F407" i="24" l="1"/>
  <c r="E407" i="24"/>
  <c r="G407" i="24"/>
  <c r="E408" i="24" a="1"/>
  <c r="F408" i="24" l="1"/>
  <c r="E408" i="24"/>
  <c r="G408" i="24"/>
  <c r="E409" i="24" a="1"/>
  <c r="F409" i="24" l="1"/>
  <c r="E409" i="24"/>
  <c r="G409" i="24"/>
  <c r="E410" i="24" a="1"/>
  <c r="F410" i="24" l="1"/>
  <c r="E410" i="24"/>
  <c r="G410" i="24"/>
  <c r="E411" i="24" a="1"/>
  <c r="E411" i="24" l="1"/>
  <c r="F411" i="24"/>
  <c r="G411" i="24"/>
  <c r="E412" i="24" a="1"/>
  <c r="F412" i="24" l="1"/>
  <c r="E412" i="24"/>
  <c r="G412" i="24"/>
  <c r="E413" i="24" a="1"/>
  <c r="F413" i="24" l="1"/>
  <c r="E413" i="24"/>
  <c r="G413" i="24"/>
  <c r="E414" i="24" a="1"/>
  <c r="F414" i="24" l="1"/>
  <c r="E414" i="24"/>
  <c r="G414" i="24"/>
  <c r="E415" i="24" a="1"/>
  <c r="F415" i="24" l="1"/>
  <c r="E415" i="24"/>
  <c r="G415" i="24"/>
  <c r="E416" i="24" a="1"/>
  <c r="E416" i="24" l="1"/>
  <c r="F416" i="24"/>
  <c r="G416" i="24"/>
  <c r="E417" i="24" a="1"/>
  <c r="F417" i="24" l="1"/>
  <c r="E417" i="24"/>
  <c r="G417" i="24"/>
  <c r="E418" i="24" a="1"/>
  <c r="F418" i="24" l="1"/>
  <c r="E418" i="24"/>
  <c r="G418" i="24"/>
  <c r="E419" i="24" a="1"/>
  <c r="F419" i="24" l="1"/>
  <c r="E419" i="24"/>
  <c r="G419" i="24"/>
  <c r="E420" i="24" a="1"/>
  <c r="F420" i="24" l="1"/>
  <c r="E420" i="24"/>
  <c r="G420" i="24"/>
  <c r="E421" i="24" a="1"/>
  <c r="F421" i="24" l="1"/>
  <c r="E421" i="24"/>
  <c r="G421" i="24"/>
  <c r="E422" i="24" a="1"/>
  <c r="F422" i="24" l="1"/>
  <c r="E422" i="24"/>
  <c r="G422" i="24"/>
  <c r="E423" i="24" a="1"/>
  <c r="E423" i="24" l="1"/>
  <c r="F423" i="24"/>
  <c r="G423" i="24"/>
  <c r="E424" i="24" a="1"/>
  <c r="F424" i="24" l="1"/>
  <c r="E424" i="24"/>
  <c r="G424" i="24"/>
  <c r="E425" i="24" a="1"/>
  <c r="F425" i="24" l="1"/>
  <c r="E425" i="24"/>
  <c r="G425" i="24"/>
  <c r="E426" i="24" a="1"/>
  <c r="F426" i="24" l="1"/>
  <c r="E426" i="24"/>
  <c r="G426" i="24"/>
  <c r="E427" i="24" a="1"/>
  <c r="F427" i="24" l="1"/>
  <c r="E427" i="24"/>
  <c r="G427" i="24"/>
  <c r="E428" i="24" a="1"/>
  <c r="F428" i="24" l="1"/>
  <c r="E428" i="24"/>
  <c r="G428" i="24"/>
  <c r="E429" i="24" a="1"/>
  <c r="F429" i="24" l="1"/>
  <c r="E429" i="24"/>
  <c r="G429" i="24"/>
  <c r="E430" i="24" a="1"/>
  <c r="F430" i="24" l="1"/>
  <c r="E430" i="24"/>
  <c r="G430" i="24"/>
  <c r="E431" i="24" a="1"/>
  <c r="F431" i="24" l="1"/>
  <c r="E431" i="24"/>
  <c r="G431" i="24"/>
  <c r="E432" i="24" a="1"/>
  <c r="F432" i="24" l="1"/>
  <c r="E432" i="24"/>
  <c r="G432" i="24"/>
  <c r="E433" i="24" a="1"/>
  <c r="F433" i="24" l="1"/>
  <c r="E433" i="24"/>
  <c r="G433" i="24"/>
  <c r="E434" i="24" a="1"/>
  <c r="F434" i="24" l="1"/>
  <c r="E434" i="24"/>
  <c r="G434" i="24"/>
  <c r="E435" i="24" a="1"/>
  <c r="F435" i="24" l="1"/>
  <c r="E435" i="24"/>
  <c r="G435" i="24"/>
  <c r="E436" i="24" a="1"/>
  <c r="F436" i="24" l="1"/>
  <c r="E436" i="24"/>
  <c r="G436" i="24"/>
  <c r="E437" i="24" a="1"/>
  <c r="F437" i="24" l="1"/>
  <c r="E437" i="24"/>
  <c r="G437" i="24"/>
  <c r="E438" i="24" a="1"/>
  <c r="F438" i="24" l="1"/>
  <c r="E438" i="24"/>
  <c r="G438" i="24"/>
  <c r="E439" i="24" a="1"/>
  <c r="F439" i="24" l="1"/>
  <c r="E439" i="24"/>
  <c r="G439" i="24"/>
  <c r="E440" i="24" a="1"/>
  <c r="F440" i="24" l="1"/>
  <c r="E440" i="24"/>
  <c r="G440" i="24"/>
  <c r="E441" i="24" a="1"/>
  <c r="F441" i="24" l="1"/>
  <c r="E441" i="24"/>
  <c r="G441" i="24"/>
  <c r="E442" i="24" a="1"/>
  <c r="F442" i="24" l="1"/>
  <c r="E442" i="24"/>
  <c r="G442" i="24"/>
  <c r="E443" i="24" a="1"/>
  <c r="F443" i="24" l="1"/>
  <c r="E443" i="24"/>
  <c r="G443" i="24"/>
  <c r="E444" i="24" a="1"/>
  <c r="F444" i="24" l="1"/>
  <c r="E444" i="24"/>
  <c r="G444" i="24"/>
  <c r="E445" i="24" a="1"/>
  <c r="E445" i="24" l="1"/>
  <c r="F445" i="24"/>
  <c r="G445" i="24"/>
  <c r="E446" i="24" a="1"/>
  <c r="F446" i="24" l="1"/>
  <c r="E446" i="24"/>
  <c r="G446" i="24"/>
  <c r="E447" i="24" a="1"/>
  <c r="F447" i="24" l="1"/>
  <c r="E447" i="24"/>
  <c r="G447" i="24"/>
  <c r="E448" i="24" a="1"/>
  <c r="F448" i="24" l="1"/>
  <c r="E448" i="24"/>
  <c r="G448" i="24"/>
  <c r="E449" i="24" a="1"/>
  <c r="F449" i="24" l="1"/>
  <c r="E449" i="24"/>
  <c r="G449" i="24"/>
  <c r="E450" i="24" a="1"/>
  <c r="F450" i="24" l="1"/>
  <c r="E450" i="24"/>
  <c r="G450" i="24"/>
  <c r="E451" i="24" a="1"/>
  <c r="E451" i="24" l="1"/>
  <c r="F451" i="24"/>
  <c r="G451" i="24"/>
  <c r="E452" i="24" a="1"/>
  <c r="F452" i="24" l="1"/>
  <c r="E452" i="24"/>
  <c r="G452" i="24"/>
  <c r="E453" i="24" a="1"/>
  <c r="F453" i="24" l="1"/>
  <c r="E453" i="24"/>
  <c r="G453" i="24"/>
  <c r="E454" i="24" a="1"/>
  <c r="F454" i="24" l="1"/>
  <c r="E454" i="24"/>
  <c r="G454" i="24"/>
  <c r="E455" i="24" a="1"/>
  <c r="F455" i="24" l="1"/>
  <c r="E455" i="24"/>
  <c r="G455" i="24"/>
  <c r="E456" i="24" a="1"/>
  <c r="E456" i="24" l="1"/>
  <c r="F456" i="24"/>
  <c r="G456" i="24"/>
  <c r="E457" i="24" a="1"/>
  <c r="F457" i="24" l="1"/>
  <c r="E457" i="24"/>
  <c r="G457" i="24"/>
  <c r="E458" i="24" a="1"/>
  <c r="F458" i="24" l="1"/>
  <c r="E458" i="24"/>
  <c r="G458" i="24"/>
  <c r="E459" i="24" a="1"/>
  <c r="E459" i="24" l="1"/>
  <c r="F459" i="24"/>
  <c r="G459" i="24"/>
  <c r="E460" i="24" a="1"/>
  <c r="E460" i="24" l="1"/>
  <c r="F460" i="24"/>
  <c r="G460" i="24"/>
  <c r="E461" i="24" a="1"/>
  <c r="F461" i="24" l="1"/>
  <c r="E461" i="24"/>
  <c r="G461" i="24"/>
  <c r="E462" i="24" a="1"/>
  <c r="F462" i="24" l="1"/>
  <c r="E462" i="24"/>
  <c r="G462" i="24"/>
  <c r="E463" i="24" a="1"/>
  <c r="F463" i="24" l="1"/>
  <c r="E463" i="24"/>
  <c r="G463" i="24"/>
  <c r="E464" i="24" a="1"/>
  <c r="E464" i="24" l="1"/>
  <c r="F464" i="24"/>
  <c r="G464" i="24"/>
  <c r="E465" i="24" a="1"/>
  <c r="E465" i="24" l="1"/>
  <c r="F465" i="24"/>
  <c r="G465" i="24"/>
  <c r="E466" i="24" a="1"/>
  <c r="E466" i="24" l="1"/>
  <c r="F466" i="24"/>
  <c r="G466" i="24"/>
  <c r="E467" i="24" a="1"/>
  <c r="E467" i="24" l="1"/>
  <c r="F467" i="24"/>
  <c r="G467" i="24"/>
  <c r="E468" i="24" a="1"/>
  <c r="F468" i="24" l="1"/>
  <c r="E468" i="24"/>
  <c r="G468" i="24"/>
  <c r="E469" i="24" a="1"/>
  <c r="E469" i="24" l="1"/>
  <c r="F469" i="24"/>
  <c r="G469" i="24"/>
  <c r="E470" i="24" a="1"/>
  <c r="E470" i="24" l="1"/>
  <c r="F470" i="24"/>
  <c r="G470" i="24"/>
  <c r="E471" i="24" a="1"/>
  <c r="E471" i="24" l="1"/>
  <c r="F471" i="24"/>
  <c r="G471" i="24"/>
  <c r="E472" i="24" a="1"/>
  <c r="E472" i="24" l="1"/>
  <c r="F472" i="24"/>
  <c r="G472" i="24"/>
  <c r="E473" i="24" a="1"/>
  <c r="F473" i="24" l="1"/>
  <c r="E473" i="24"/>
  <c r="G473" i="24"/>
  <c r="E474" i="24" a="1"/>
  <c r="F474" i="24" l="1"/>
  <c r="E474" i="24"/>
  <c r="G474" i="24"/>
  <c r="E475" i="24" a="1"/>
  <c r="F475" i="24" l="1"/>
  <c r="E475" i="24"/>
  <c r="G475" i="24"/>
  <c r="E476" i="24" a="1"/>
  <c r="F476" i="24" l="1"/>
  <c r="E476" i="24"/>
  <c r="G476" i="24"/>
  <c r="E477" i="24" a="1"/>
  <c r="F477" i="24" l="1"/>
  <c r="E477" i="24"/>
  <c r="G477" i="24"/>
  <c r="E478" i="24" a="1"/>
  <c r="F478" i="24" l="1"/>
  <c r="E478" i="24"/>
  <c r="G478" i="24"/>
  <c r="E479" i="24" a="1"/>
  <c r="F479" i="24" l="1"/>
  <c r="E479" i="24"/>
  <c r="G479" i="24"/>
  <c r="E480" i="24" a="1"/>
  <c r="F480" i="24" l="1"/>
  <c r="E480" i="24"/>
  <c r="G480" i="24"/>
  <c r="E481" i="24" a="1"/>
  <c r="E481" i="24" l="1"/>
  <c r="F481" i="24"/>
  <c r="G481" i="24"/>
  <c r="E482" i="24" a="1"/>
  <c r="F482" i="24" l="1"/>
  <c r="E482" i="24"/>
  <c r="G482" i="24"/>
  <c r="E483" i="24" a="1"/>
  <c r="E483" i="24" l="1"/>
  <c r="F483" i="24"/>
  <c r="G483" i="24"/>
  <c r="E484" i="24" a="1"/>
  <c r="F484" i="24" l="1"/>
  <c r="E484" i="24"/>
  <c r="G484" i="24"/>
  <c r="E485" i="24" a="1"/>
  <c r="F485" i="24" l="1"/>
  <c r="E485" i="24"/>
  <c r="G485" i="24"/>
  <c r="E486" i="24" a="1"/>
  <c r="F486" i="24" l="1"/>
  <c r="E486" i="24"/>
  <c r="G486" i="24"/>
  <c r="E487" i="24" a="1"/>
  <c r="F487" i="24" l="1"/>
  <c r="E487" i="24"/>
  <c r="G487" i="24"/>
  <c r="E488" i="24" a="1"/>
  <c r="F488" i="24" l="1"/>
  <c r="E488" i="24"/>
  <c r="G488" i="24"/>
  <c r="E489" i="24" a="1"/>
  <c r="F489" i="24" l="1"/>
  <c r="E489" i="24"/>
  <c r="G489" i="24"/>
  <c r="E490" i="24" a="1"/>
  <c r="F490" i="24" l="1"/>
  <c r="E490" i="24"/>
  <c r="G490" i="24"/>
  <c r="E491" i="24" a="1"/>
  <c r="E491" i="24" l="1"/>
  <c r="F491" i="24"/>
  <c r="G491" i="24"/>
  <c r="E492" i="24" a="1"/>
  <c r="F492" i="24" l="1"/>
  <c r="E492" i="24"/>
  <c r="G492" i="24"/>
  <c r="E493" i="24" a="1"/>
  <c r="F493" i="24" l="1"/>
  <c r="E493" i="24"/>
  <c r="G493" i="24"/>
  <c r="E494" i="24" a="1"/>
  <c r="F494" i="24" l="1"/>
  <c r="E494" i="24"/>
  <c r="G494" i="24"/>
  <c r="E495" i="24" a="1"/>
  <c r="F495" i="24" l="1"/>
  <c r="E495" i="24"/>
  <c r="G495" i="24"/>
  <c r="E496" i="24" a="1"/>
  <c r="F496" i="24" l="1"/>
  <c r="E496" i="24"/>
  <c r="G496" i="24"/>
  <c r="E497" i="24" a="1"/>
  <c r="F497" i="24" l="1"/>
  <c r="E497" i="24"/>
  <c r="G497" i="24"/>
  <c r="E498" i="24" a="1"/>
  <c r="E498" i="24" l="1"/>
  <c r="F498" i="24"/>
  <c r="G498" i="24"/>
  <c r="E499" i="24" a="1"/>
  <c r="E499" i="24" l="1"/>
  <c r="F499" i="24"/>
  <c r="G499" i="24"/>
  <c r="E500" i="24" a="1"/>
  <c r="F500" i="24" l="1"/>
  <c r="E500" i="24"/>
  <c r="G500" i="24"/>
  <c r="E501" i="24" a="1"/>
  <c r="F501" i="24" l="1"/>
  <c r="E501" i="24"/>
  <c r="G501" i="24"/>
  <c r="F254" i="24" l="1"/>
  <c r="E254" i="24"/>
  <c r="E4" i="23"/>
  <c r="A4" i="23"/>
  <c r="A9" i="23"/>
  <c r="A56" i="28" a="1"/>
  <c r="A51" i="28" a="1"/>
  <c r="A50" i="28" a="1"/>
  <c r="E57" i="28" a="1"/>
  <c r="E54" i="28" a="1"/>
  <c r="A55" i="28" a="1"/>
  <c r="E56" i="28" a="1"/>
  <c r="E26" i="28"/>
  <c r="E48" i="28" a="1"/>
  <c r="A53" i="28" a="1"/>
  <c r="A11" i="23"/>
  <c r="B26" i="28" a="1"/>
  <c r="B24" i="28" a="1"/>
  <c r="E58" i="28" a="1"/>
  <c r="E52" i="28" a="1"/>
  <c r="A54" i="28" a="1"/>
  <c r="E51" i="28" a="1"/>
  <c r="D24" i="28"/>
  <c r="E47" i="28" a="1"/>
  <c r="E59" i="28" a="1"/>
  <c r="E50" i="28" a="1"/>
  <c r="E55" i="28" a="1"/>
  <c r="A52" i="28" a="1"/>
  <c r="A47" i="28" a="1"/>
  <c r="E53" i="28" a="1"/>
  <c r="A49" i="28" a="1"/>
  <c r="E49" i="28" a="1"/>
  <c r="A48" i="28" a="1"/>
  <c r="B48" i="28" l="1"/>
  <c r="A48" i="28"/>
  <c r="E49" i="28"/>
  <c r="F49" i="28"/>
  <c r="G49" i="28"/>
  <c r="A49" i="28"/>
  <c r="B49" i="28"/>
  <c r="E53" i="28"/>
  <c r="F53" i="28"/>
  <c r="G53" i="28"/>
  <c r="B47" i="28"/>
  <c r="A47" i="28"/>
  <c r="B52" i="28"/>
  <c r="A52" i="28"/>
  <c r="E55" i="28"/>
  <c r="F55" i="28"/>
  <c r="G55" i="28"/>
  <c r="F50" i="28"/>
  <c r="G50" i="28"/>
  <c r="E50" i="28"/>
  <c r="F59" i="28"/>
  <c r="G59" i="28"/>
  <c r="E59" i="28"/>
  <c r="E47" i="28"/>
  <c r="F47" i="28"/>
  <c r="G47" i="28"/>
  <c r="G51" i="28"/>
  <c r="E51" i="28"/>
  <c r="F51" i="28"/>
  <c r="A54" i="28"/>
  <c r="B54" i="28"/>
  <c r="G52" i="28"/>
  <c r="E52" i="28"/>
  <c r="F52" i="28"/>
  <c r="E58" i="28"/>
  <c r="F58" i="28"/>
  <c r="G58" i="28"/>
  <c r="C24" i="28"/>
  <c r="B24" i="28"/>
  <c r="C26" i="28"/>
  <c r="D26" i="28"/>
  <c r="B26" i="28"/>
  <c r="A53" i="28"/>
  <c r="B53" i="28"/>
  <c r="E48" i="28"/>
  <c r="F48" i="28"/>
  <c r="G48" i="28"/>
  <c r="F56" i="28"/>
  <c r="G56" i="28"/>
  <c r="E56" i="28"/>
  <c r="A55" i="28"/>
  <c r="B55" i="28"/>
  <c r="E54" i="28"/>
  <c r="F54" i="28"/>
  <c r="G54" i="28"/>
  <c r="G57" i="28"/>
  <c r="E57" i="28"/>
  <c r="F57" i="28"/>
  <c r="A50" i="28"/>
  <c r="B50" i="28"/>
  <c r="A51" i="28"/>
  <c r="B51" i="28"/>
  <c r="B56" i="28"/>
  <c r="A56" i="28"/>
  <c r="E64" i="28" l="1"/>
  <c r="I62" i="28"/>
  <c r="H62" i="28"/>
  <c r="E63" i="28"/>
  <c r="M2" i="24"/>
  <c r="M1" i="24"/>
  <c r="L7" i="24"/>
  <c r="K7" i="24"/>
  <c r="M7" i="24"/>
  <c r="L6" i="24"/>
  <c r="K6" i="24"/>
  <c r="L2" i="24"/>
  <c r="L1" i="24"/>
  <c r="K5" i="24"/>
  <c r="K1" i="24"/>
  <c r="K2" i="24"/>
  <c r="B62" i="28"/>
  <c r="I64" i="28"/>
  <c r="H64" i="28"/>
  <c r="F64" i="28"/>
  <c r="I63" i="28"/>
  <c r="H63" i="28"/>
</calcChain>
</file>

<file path=xl/sharedStrings.xml><?xml version="1.0" encoding="utf-8"?>
<sst xmlns="http://schemas.openxmlformats.org/spreadsheetml/2006/main" count="133" uniqueCount="120">
  <si>
    <t>However, 32 bits of integer data are not always enough. For some functions, a 64-bit integer data type is necessary to encompass the entire range of possible information. The ULARGE_INTEGER structure used by the API stores such a 64-bit integer by separating it into high-order and low-order halves of 32 bits each. This format is, sadly, not convenient for actually reading the data in the structure. To easily read and write to these structures, a 64-bit integer data type is necessary. And alas, Visual Basic has no true 64-bit integer data type.</t>
  </si>
  <si>
    <t>The Currency Data Type</t>
  </si>
  <si>
    <t>Fortunately, all is not lost! Visual Basic has the Currency data type. The Currency data type was initially created by the designers of Visual Basic to allow precise computations to be made on monetary values. The Single and Double floating-point data types are insufficient because they can only support a limited number of significant digits. Beyond that number of digits, some rounding occurs. The Currency data type combines the exactness of integer data types with a few fixed decimal places to allow subdivisions of a currency unit (such as a cent).</t>
  </si>
  <si>
    <t>Internally, the Currency data type actually is a 64-bit integer. However, Visual Basic scales down by a factor of 10,000 to produce four digits after the decimal point. So, although the data type is a 64-bit integer, Visual Basic will display the value of any Currency-type variable as having a decimal point followed by four digits. Therefore, in order to display a 64-bit value copied into the variable correctly, you must first multiply the variable by 10,000. This will shift the decimal point four places to the right, resulting in the display of the actual value.</t>
  </si>
  <si>
    <t>Example</t>
  </si>
  <si>
    <t>Here is an example of how the Currency data type can be used to display a 64-bit integer retrieved from an API function. The GetDiskFreeSpaceEx reports all of its data as 64-bit integers. For disk space, 32-bit integers are too small; otherwise, the function would be limited to hard drives having a total storage space of less than 4.0 GB. Clearly, this is too small for modern disks!</t>
  </si>
  <si>
    <t>After retrieving the information from the function, the following code copies it into a Currency-type variable. Then, after multiplying it by 10000 to move Visual Basic's decimal point, the free space of drive C: is properly stated.</t>
  </si>
  <si>
    <t>Dim userbytes As ULARGE_INTEGER  ' bytes free to user</t>
  </si>
  <si>
    <t>Dim totalbytes As ULARGE_INTEGER  ' total bytes on disk</t>
  </si>
  <si>
    <t>Dim freebytes As ULARGE_INTEGER  ' free bytes on disk</t>
  </si>
  <si>
    <t>Dim tempval As Currency  ' display buffer for 64-bit values</t>
  </si>
  <si>
    <t>Dim retval As Long  ' return value of function</t>
  </si>
  <si>
    <t>' Get information about the C: drive.</t>
  </si>
  <si>
    <t>retval = GetDiskFreeSpaceEx("C:\", userbytes, totalbytes, freebytes)</t>
  </si>
  <si>
    <t>' Copy totalbytes into the Currency data type.</t>
  </si>
  <si>
    <t>CopyMemory tempval, totalbytes, 8</t>
  </si>
  <si>
    <t>' Multiply by 10000 to move Visual Basic's decimal point to the end of the actual number.</t>
  </si>
  <si>
    <t>tempval = tempval * 10000</t>
  </si>
  <si>
    <t>' Display the total number of bytes on C:.</t>
  </si>
  <si>
    <t>Debug.Print "Free Space on the C: drive:"; tempval; "bytes"</t>
  </si>
  <si>
    <t>Manipulating 64-bit Integers</t>
  </si>
  <si>
    <t>Although you may be storing a true 64-bit integer inside a Currency data type, Visual Basic believes there is a decimal point inside the value whether you want one there or not. Therefore, you must take care when performing some arithmetic operations on true 64-bit values. This involves moving the decimal point to preserve the actual integer, instead of the value Visual Basic believes you are storing inside of it.</t>
  </si>
  <si>
    <t>Addition and Subtraction</t>
  </si>
  <si>
    <t>No conversion factor is necessary to add or subtract 64-bit integers from one another. Simply add or subtract Currency types as you would any other data type values.</t>
  </si>
  <si>
    <t>Multiplication</t>
  </si>
  <si>
    <t>When multiplying two 64-bit integers in Currency form, you must multiply the result by 10,000 to move the decimal point to the proper place. However, if you wait to multiply by 10,000 until after you calculate the initial product, it is very possible that you will have lost part of the calculation due to internal rounding off. Therefore, to multiply two 64-bit integers in Currency form, use the following formula:</t>
  </si>
  <si>
    <t>product = 10000 * first * second</t>
  </si>
  <si>
    <t>Division</t>
  </si>
  <si>
    <t>Like multiplication, division of two 64-bit integers in Currency form requires a correction factor. However, in this case, the quotient must be divided by 10,000. To minimize internal rounding off of significant digits, you should divide by 10,000 only after calculating the initial quotient. To divide two 64-bit integers in Currency form, use the following formula:</t>
  </si>
  <si>
    <t>quotient = dividend / divisor / 10000</t>
  </si>
  <si>
    <t>Limitations</t>
  </si>
  <si>
    <t>Although using the Currency data type to "fake" 64-bit integer support in Visual Basic should work in most cases, there remains the problem of data range. Because the value must be multiplied by 10,000 to display properly, values at the extremes of the 64-bit integer range will cause an Overflow error if you try to display them. Thus, the Currency form of 64-bit integers in Visual Basic has a display range from -372,036,854,775,808 to 372,036,854,775,807. So while you cannot use the full range of 64-bit values, nevertheless these fake 64-bit integers greatly extend the range offered by the intrinsic 32-bit data type.</t>
  </si>
  <si>
    <t>Of course, this limitation does not apply to 64-bit integers that do not need to be displayed for the user. The Currency data type itself can store the entire 64-bit range from -9,223,372,036,854,775,808 to 9,223,372,036,854,775,807. Note, however, that at these extremes, the methods presented earlier for multiplying and dividing these values may fail. They depend on having the "extra room" available in the storage space that may not be present past the trillions. Again, however, despite these limitations, using the Currency data type as a pseudo-64-bit integer data type makes it significantly easier to use those API functions that, like GetDiskFreeSpaceEx, use 64-bit values in their parameters.</t>
  </si>
  <si>
    <t>Back to the Article list.</t>
  </si>
  <si>
    <t>Last Modified: XXUPDATEXX</t>
  </si>
  <si>
    <t>This page is copyright © 2000 Paul Kuliniewicz. Copyright Information</t>
  </si>
  <si>
    <t>Go back to the Windows API Guide home page.</t>
  </si>
  <si>
    <t>E-mail: vbapi@vbapi.com Send Encrypted E-Mail</t>
  </si>
  <si>
    <t>This page is at http://www.vbapi.com/articles/64bit/index.html</t>
  </si>
  <si>
    <t>This is the random function, using FMRG</t>
  </si>
  <si>
    <t>This is Excel RAND()</t>
  </si>
  <si>
    <t>This is the NormalRandom function using FMRG with mean 100, SD 50</t>
  </si>
  <si>
    <t>Hit F9 to recalculate</t>
  </si>
  <si>
    <t>Sorting Routine: Original Data to be Sorted by column 2</t>
  </si>
  <si>
    <t>Sorted Output</t>
  </si>
  <si>
    <t>http://www.vbapi.com/articles/64bit/</t>
  </si>
  <si>
    <t xml:space="preserve">  </t>
  </si>
  <si>
    <t>------------------------------------------------------------------------</t>
  </si>
  <si>
    <t>Faking 64-bit Integers</t>
  </si>
  <si>
    <t>Introduction</t>
  </si>
  <si>
    <t>Usually, the intrinsic Visual Basic data types are sufficient to read information from and send information to API functions. The two most important and frequently used data types are String and Long, which is a 32-bit integer data type. Since Windows is a 32-bit operating system, it almost exclusively uses 32-bit integers throughout its API.</t>
  </si>
  <si>
    <t>This workbook holds the latest version of our implementation of FMRG, which can be used via the formula =RANDOM()</t>
  </si>
  <si>
    <t>This is the NormalRandom function using FMRG with mean 0, SD 2</t>
  </si>
  <si>
    <t>Mean</t>
  </si>
  <si>
    <t>SD</t>
  </si>
  <si>
    <t>Results of Monte Carlo Simulation</t>
  </si>
  <si>
    <t>Sample Number</t>
  </si>
  <si>
    <t>Simulation Stats</t>
  </si>
  <si>
    <t>repetitions</t>
  </si>
  <si>
    <t>seconds</t>
  </si>
  <si>
    <t>Summary Statistics</t>
  </si>
  <si>
    <t>Notes</t>
  </si>
  <si>
    <t>Average</t>
  </si>
  <si>
    <t>Max</t>
  </si>
  <si>
    <t>Min</t>
  </si>
  <si>
    <t>Only the first 100 repetitions are displayed on this worksheet.</t>
  </si>
  <si>
    <t>$B$66</t>
  </si>
  <si>
    <t>Variable</t>
  </si>
  <si>
    <t>Number Obs</t>
  </si>
  <si>
    <t>Var1</t>
  </si>
  <si>
    <t>Number Non-missing</t>
  </si>
  <si>
    <t>Number Missing</t>
  </si>
  <si>
    <t>Number of Unique values</t>
  </si>
  <si>
    <t>25th Percentile</t>
  </si>
  <si>
    <t>Median</t>
  </si>
  <si>
    <t>75th Percentile</t>
  </si>
  <si>
    <t>Data Source: Sheet1!$B$2:$B$10001</t>
  </si>
  <si>
    <t>Note: Class intervals include the left endpoint, but not the right endpoint.</t>
  </si>
  <si>
    <t>Function BiVarNormal(mean1 As Double, SD1 As Double, mean2 As Double, SD2 As Double, rho As Double) As Variant</t>
  </si>
  <si>
    <t>Function MultivarNormal(nvars As Integer, corrRange As Range, meansRange As Range, SDsrange As Range) As Variant</t>
  </si>
  <si>
    <t>The functions are volatile.</t>
  </si>
  <si>
    <t>MultivarNormal requires ranges as input.</t>
  </si>
  <si>
    <t>corrRange contains the correlation matrix for the random variables--only the lower triangular part is used.</t>
  </si>
  <si>
    <t>meansRange contains the vector of means.</t>
  </si>
  <si>
    <t>SDsRange contains the vector of SDs.</t>
  </si>
  <si>
    <t>Both meansRange and SDsRange must be column vectors.</t>
  </si>
  <si>
    <t>The output is a row vector.</t>
  </si>
  <si>
    <t>Error handling:</t>
  </si>
  <si>
    <t>For Multivar, there is an error message box that warns if the variance-covariance matrix isn't positive definite and no results are produced.</t>
  </si>
  <si>
    <t>Examples</t>
  </si>
  <si>
    <t>Bivar:</t>
  </si>
  <si>
    <t>I use the GetFormula macro to indicate what these formulas contain</t>
  </si>
  <si>
    <t>Multivar:</t>
  </si>
  <si>
    <t>CorrRange</t>
  </si>
  <si>
    <t>MeansRange</t>
  </si>
  <si>
    <t>SDsRange</t>
  </si>
  <si>
    <t>corrRange</t>
  </si>
  <si>
    <t>meansRange</t>
  </si>
  <si>
    <t>x1</t>
  </si>
  <si>
    <t>x2</t>
  </si>
  <si>
    <t>x3</t>
  </si>
  <si>
    <t>Output Testing</t>
  </si>
  <si>
    <t>Run MCSim.xla on the Output Testing cells to see that they match the user input.</t>
  </si>
  <si>
    <t>r</t>
  </si>
  <si>
    <t>BiVarNormal</t>
  </si>
  <si>
    <t>MultiVarNormal</t>
  </si>
  <si>
    <t>Using the BiVarNormal and MultiVarNormal functions:</t>
  </si>
  <si>
    <t>{=BiVarNormal(0, 1, 0, 2, 0.9)}</t>
  </si>
  <si>
    <t>We guard against negative SDs.</t>
  </si>
  <si>
    <t>In Multivar, we check to see that all the diagonal entries are 1.</t>
  </si>
  <si>
    <t xml:space="preserve">We guard against correlations which are greater than 1. </t>
  </si>
  <si>
    <t>We check to see that the arrays all have the proper dimensions.</t>
  </si>
  <si>
    <t xml:space="preserve">Up to 256 correlated normals are allowed.  As n increases, so does computation time. Since the function is </t>
  </si>
  <si>
    <t>volatile, it recalculates every time you make a change to the Excel sheet.  This can slow things down considerably.</t>
  </si>
  <si>
    <t xml:space="preserve">One remedy is to use Tools:Options:Calculation to set calculation to manual.  </t>
  </si>
  <si>
    <t>This sheet documents and demonstrates two array functions which generate correlated normal random variables.</t>
  </si>
  <si>
    <t>=MultivarXs(3, 10, A127:C129, A131:A133, B131:B133)</t>
  </si>
  <si>
    <t>Correlation Matrix</t>
  </si>
  <si>
    <t>Example with 10 observations and 3 variables.</t>
  </si>
  <si>
    <t>SD pop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</si>
</sst>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
    <numFmt numFmtId="166" formatCode="0.0"/>
  </numFmts>
  <fonts count="21" x14ac:knownFonts="1">
    <font>
      <sz val="9"/>
      <name val="Geneva"/>
    </font>
    <font>
      <sz val="9"/>
      <name val="Geneva"/>
    </font>
    <font>
      <b/>
      <sz val="9"/>
      <color indexed="10"/>
      <name val="Geneva"/>
    </font>
    <font>
      <b/>
      <sz val="9"/>
      <color indexed="12"/>
      <name val="Geneva"/>
    </font>
    <font>
      <sz val="12"/>
      <name val="Times New Roman"/>
      <family val="1"/>
    </font>
    <font>
      <sz val="10"/>
      <name val="Arial"/>
      <family val="2"/>
    </font>
    <font>
      <sz val="24"/>
      <name val="Times New Roman"/>
      <family val="1"/>
    </font>
    <font>
      <sz val="12"/>
      <name val="Times New Roman"/>
      <family val="1"/>
    </font>
    <font>
      <b/>
      <sz val="14"/>
      <name val="Times New Roman"/>
      <family val="1"/>
    </font>
    <font>
      <b/>
      <sz val="12"/>
      <color indexed="56"/>
      <name val="Times New Roman"/>
      <family val="1"/>
    </font>
    <font>
      <b/>
      <sz val="12"/>
      <color indexed="10"/>
      <name val="Times New Roman"/>
      <family val="1"/>
    </font>
    <font>
      <b/>
      <sz val="12"/>
      <name val="Times New Roman"/>
      <family val="1"/>
    </font>
    <font>
      <b/>
      <sz val="12"/>
      <color indexed="10"/>
      <name val="Symbol"/>
      <family val="1"/>
      <charset val="2"/>
    </font>
    <font>
      <sz val="12"/>
      <color indexed="10"/>
      <name val="Times New Roman"/>
      <family val="1"/>
    </font>
    <font>
      <sz val="8"/>
      <name val="Geneva"/>
    </font>
    <font>
      <sz val="8"/>
      <name val="Arial"/>
      <family val="2"/>
    </font>
    <font>
      <sz val="9"/>
      <color indexed="10"/>
      <name val="Geneva"/>
    </font>
    <font>
      <sz val="10"/>
      <color indexed="10"/>
      <name val="Arial"/>
      <family val="2"/>
    </font>
    <font>
      <b/>
      <sz val="10"/>
      <name val="Arial"/>
      <family val="2"/>
    </font>
    <font>
      <sz val="11"/>
      <color rgb="FF000000"/>
      <name val="Calibri"/>
      <family val="2"/>
    </font>
    <font>
      <sz val="11"/>
      <name val="Calibri"/>
      <family val="2"/>
    </font>
  </fonts>
  <fills count="3">
    <fill>
      <patternFill patternType="none"/>
    </fill>
    <fill>
      <patternFill patternType="gray125"/>
    </fill>
    <fill>
      <patternFill patternType="solid">
        <fgColor indexed="45"/>
        <bgColor indexed="64"/>
      </patternFill>
    </fill>
  </fills>
  <borders count="39">
    <border>
      <left/>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theme="3" tint="0.79998168889431442"/>
      </right>
      <top style="thin">
        <color indexed="64"/>
      </top>
      <bottom style="thin">
        <color theme="3" tint="0.79998168889431442"/>
      </bottom>
      <diagonal/>
    </border>
    <border>
      <left style="thin">
        <color theme="3" tint="0.79998168889431442"/>
      </left>
      <right style="thin">
        <color theme="3" tint="0.79998168889431442"/>
      </right>
      <top style="thin">
        <color indexed="64"/>
      </top>
      <bottom style="thin">
        <color theme="3" tint="0.79998168889431442"/>
      </bottom>
      <diagonal/>
    </border>
    <border>
      <left style="thin">
        <color theme="3" tint="0.79998168889431442"/>
      </left>
      <right style="thin">
        <color indexed="64"/>
      </right>
      <top style="thin">
        <color indexed="64"/>
      </top>
      <bottom style="thin">
        <color theme="3" tint="0.79998168889431442"/>
      </bottom>
      <diagonal/>
    </border>
    <border>
      <left style="thin">
        <color indexed="64"/>
      </left>
      <right style="thin">
        <color theme="3" tint="0.79998168889431442"/>
      </right>
      <top style="thin">
        <color theme="3" tint="0.79998168889431442"/>
      </top>
      <bottom style="thin">
        <color theme="3" tint="0.79998168889431442"/>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
      <left style="thin">
        <color theme="3" tint="0.79998168889431442"/>
      </left>
      <right style="thin">
        <color indexed="64"/>
      </right>
      <top style="thin">
        <color theme="3" tint="0.79998168889431442"/>
      </top>
      <bottom style="thin">
        <color theme="3" tint="0.79998168889431442"/>
      </bottom>
      <diagonal/>
    </border>
    <border>
      <left/>
      <right/>
      <top/>
      <bottom style="thin">
        <color indexed="64"/>
      </bottom>
      <diagonal/>
    </border>
    <border>
      <left style="thin">
        <color theme="3" tint="0.79998168889431442"/>
      </left>
      <right/>
      <top style="thin">
        <color theme="3" tint="0.79998168889431442"/>
      </top>
      <bottom style="thin">
        <color theme="3" tint="0.79998168889431442"/>
      </bottom>
      <diagonal/>
    </border>
    <border>
      <left/>
      <right/>
      <top style="thin">
        <color theme="3" tint="0.79998168889431442"/>
      </top>
      <bottom style="thin">
        <color theme="3" tint="0.79998168889431442"/>
      </bottom>
      <diagonal/>
    </border>
    <border>
      <left/>
      <right style="thin">
        <color theme="3" tint="0.79998168889431442"/>
      </right>
      <top style="thin">
        <color theme="3" tint="0.79998168889431442"/>
      </top>
      <bottom style="thin">
        <color theme="3" tint="0.79998168889431442"/>
      </bottom>
      <diagonal/>
    </border>
    <border>
      <left/>
      <right style="thin">
        <color theme="3" tint="0.79998168889431442"/>
      </right>
      <top/>
      <bottom style="thin">
        <color indexed="64"/>
      </bottom>
      <diagonal/>
    </border>
  </borders>
  <cellStyleXfs count="6">
    <xf numFmtId="0" fontId="0" fillId="0" borderId="0"/>
    <xf numFmtId="0" fontId="5" fillId="0" borderId="0"/>
    <xf numFmtId="0" fontId="5" fillId="0" borderId="0"/>
    <xf numFmtId="0" fontId="4" fillId="0" borderId="0"/>
    <xf numFmtId="0" fontId="4" fillId="0" borderId="0"/>
    <xf numFmtId="9" fontId="1" fillId="0" borderId="0" applyFont="0" applyFill="0" applyBorder="0" applyAlignment="0" applyProtection="0"/>
  </cellStyleXfs>
  <cellXfs count="112">
    <xf numFmtId="0" fontId="0" fillId="0" borderId="0" xfId="0"/>
    <xf numFmtId="0" fontId="2" fillId="0" borderId="0" xfId="0" applyFont="1"/>
    <xf numFmtId="0" fontId="3" fillId="0" borderId="0" xfId="0" applyFont="1"/>
    <xf numFmtId="0" fontId="6" fillId="0" borderId="0" xfId="4" applyFont="1" applyAlignment="1">
      <alignment horizontal="left"/>
    </xf>
    <xf numFmtId="0" fontId="4" fillId="0" borderId="0" xfId="5" applyNumberFormat="1" applyFont="1" applyAlignment="1">
      <alignment horizontal="center"/>
    </xf>
    <xf numFmtId="0" fontId="5" fillId="0" borderId="0" xfId="1"/>
    <xf numFmtId="0" fontId="4" fillId="0" borderId="0" xfId="4"/>
    <xf numFmtId="0" fontId="7" fillId="0" borderId="0" xfId="4" applyFont="1"/>
    <xf numFmtId="0" fontId="4" fillId="0" borderId="0" xfId="3"/>
    <xf numFmtId="0" fontId="4" fillId="0" borderId="1" xfId="4" applyBorder="1" applyAlignment="1">
      <alignment horizontal="center" wrapText="1"/>
    </xf>
    <xf numFmtId="9" fontId="4" fillId="0" borderId="1" xfId="5" applyFont="1" applyBorder="1" applyAlignment="1">
      <alignment horizontal="center" wrapText="1"/>
    </xf>
    <xf numFmtId="0" fontId="4" fillId="0" borderId="0" xfId="4" applyBorder="1" applyAlignment="1">
      <alignment wrapText="1"/>
    </xf>
    <xf numFmtId="0" fontId="4" fillId="0" borderId="0" xfId="4" applyAlignment="1">
      <alignment wrapText="1"/>
    </xf>
    <xf numFmtId="0" fontId="5" fillId="0" borderId="0" xfId="1" applyAlignment="1">
      <alignment wrapText="1"/>
    </xf>
    <xf numFmtId="0" fontId="4" fillId="0" borderId="0" xfId="4" applyAlignment="1">
      <alignment horizontal="center"/>
    </xf>
    <xf numFmtId="165" fontId="4" fillId="0" borderId="0" xfId="5" applyNumberFormat="1" applyFont="1" applyAlignment="1">
      <alignment horizontal="center"/>
    </xf>
    <xf numFmtId="0" fontId="4" fillId="0" borderId="0" xfId="4" applyFont="1" applyBorder="1"/>
    <xf numFmtId="0" fontId="7" fillId="0" borderId="2" xfId="4" applyFont="1" applyBorder="1"/>
    <xf numFmtId="0" fontId="4" fillId="0" borderId="3" xfId="4" applyFont="1" applyBorder="1"/>
    <xf numFmtId="1" fontId="7" fillId="0" borderId="4" xfId="4" applyNumberFormat="1" applyFont="1" applyBorder="1"/>
    <xf numFmtId="0" fontId="4" fillId="0" borderId="5" xfId="4" applyFont="1" applyBorder="1"/>
    <xf numFmtId="0" fontId="11" fillId="0" borderId="0" xfId="4" applyFont="1" applyAlignment="1">
      <alignment horizontal="center"/>
    </xf>
    <xf numFmtId="0" fontId="4" fillId="0" borderId="0" xfId="4" applyBorder="1"/>
    <xf numFmtId="2" fontId="7" fillId="0" borderId="0" xfId="4" applyNumberFormat="1" applyFont="1" applyBorder="1"/>
    <xf numFmtId="0" fontId="4" fillId="0" borderId="6" xfId="4" applyBorder="1"/>
    <xf numFmtId="165" fontId="4" fillId="0" borderId="7" xfId="5" applyNumberFormat="1" applyFont="1" applyBorder="1"/>
    <xf numFmtId="0" fontId="4" fillId="0" borderId="8" xfId="4" applyBorder="1"/>
    <xf numFmtId="0" fontId="12" fillId="0" borderId="0" xfId="4" applyFont="1" applyBorder="1"/>
    <xf numFmtId="0" fontId="10" fillId="0" borderId="0" xfId="4" applyFont="1" applyBorder="1"/>
    <xf numFmtId="0" fontId="4" fillId="0" borderId="2" xfId="4" applyFont="1" applyBorder="1"/>
    <xf numFmtId="164" fontId="4" fillId="0" borderId="9" xfId="5" applyNumberFormat="1" applyFont="1" applyBorder="1"/>
    <xf numFmtId="0" fontId="4" fillId="0" borderId="8" xfId="4" applyFont="1" applyBorder="1"/>
    <xf numFmtId="10" fontId="7" fillId="0" borderId="0" xfId="5" applyNumberFormat="1" applyFont="1"/>
    <xf numFmtId="0" fontId="4" fillId="0" borderId="2" xfId="4" applyBorder="1"/>
    <xf numFmtId="165" fontId="4" fillId="0" borderId="9" xfId="5" applyNumberFormat="1" applyFont="1" applyBorder="1"/>
    <xf numFmtId="0" fontId="4" fillId="0" borderId="0" xfId="4" applyFont="1"/>
    <xf numFmtId="0" fontId="4" fillId="0" borderId="4" xfId="4" applyBorder="1"/>
    <xf numFmtId="165" fontId="4" fillId="0" borderId="10" xfId="5" applyNumberFormat="1" applyFont="1" applyBorder="1"/>
    <xf numFmtId="0" fontId="4" fillId="0" borderId="11" xfId="4" applyBorder="1"/>
    <xf numFmtId="9" fontId="7" fillId="0" borderId="0" xfId="5" applyFont="1"/>
    <xf numFmtId="0" fontId="5" fillId="0" borderId="0" xfId="1" applyBorder="1"/>
    <xf numFmtId="0" fontId="11" fillId="0" borderId="0" xfId="4" applyFont="1"/>
    <xf numFmtId="0" fontId="13" fillId="0" borderId="0" xfId="4" applyFont="1" applyAlignment="1">
      <alignment horizontal="left"/>
    </xf>
    <xf numFmtId="2" fontId="4" fillId="0" borderId="0" xfId="5" applyNumberFormat="1" applyFont="1" applyAlignment="1">
      <alignment horizontal="center"/>
    </xf>
    <xf numFmtId="0" fontId="0" fillId="0" borderId="9" xfId="0" applyBorder="1"/>
    <xf numFmtId="0" fontId="0" fillId="0" borderId="9" xfId="0" applyBorder="1" applyAlignment="1">
      <alignment horizontal="center"/>
    </xf>
    <xf numFmtId="166" fontId="0" fillId="0" borderId="9" xfId="0" applyNumberFormat="1" applyBorder="1"/>
    <xf numFmtId="0" fontId="5" fillId="0" borderId="0" xfId="2"/>
    <xf numFmtId="0" fontId="5" fillId="0" borderId="12" xfId="2" applyBorder="1"/>
    <xf numFmtId="0" fontId="5" fillId="0" borderId="13" xfId="2" applyBorder="1"/>
    <xf numFmtId="0" fontId="5" fillId="0" borderId="14" xfId="2" applyBorder="1"/>
    <xf numFmtId="0" fontId="5" fillId="0" borderId="0" xfId="2" quotePrefix="1"/>
    <xf numFmtId="0" fontId="5" fillId="0" borderId="15" xfId="2" applyBorder="1"/>
    <xf numFmtId="0" fontId="5" fillId="0" borderId="16" xfId="2" applyBorder="1"/>
    <xf numFmtId="0" fontId="5" fillId="0" borderId="17" xfId="2" applyBorder="1"/>
    <xf numFmtId="0" fontId="5" fillId="0" borderId="18" xfId="2" applyBorder="1"/>
    <xf numFmtId="0" fontId="5" fillId="0" borderId="19" xfId="2" applyBorder="1"/>
    <xf numFmtId="0" fontId="5" fillId="0" borderId="0" xfId="2" applyBorder="1"/>
    <xf numFmtId="0" fontId="5" fillId="0" borderId="8" xfId="2" applyBorder="1"/>
    <xf numFmtId="0" fontId="5" fillId="0" borderId="20" xfId="2" applyBorder="1"/>
    <xf numFmtId="0" fontId="5" fillId="0" borderId="21" xfId="2" applyBorder="1"/>
    <xf numFmtId="0" fontId="5" fillId="0" borderId="1" xfId="2" applyBorder="1"/>
    <xf numFmtId="0" fontId="5" fillId="0" borderId="11" xfId="2" applyBorder="1"/>
    <xf numFmtId="0" fontId="5" fillId="0" borderId="22" xfId="2" applyBorder="1"/>
    <xf numFmtId="0" fontId="5" fillId="0" borderId="0" xfId="2" applyFont="1"/>
    <xf numFmtId="0" fontId="0" fillId="0" borderId="0" xfId="0" applyAlignment="1">
      <alignment horizontal="right"/>
    </xf>
    <xf numFmtId="0" fontId="17" fillId="0" borderId="0" xfId="2" applyFont="1"/>
    <xf numFmtId="0" fontId="18" fillId="0" borderId="0" xfId="2" applyFont="1"/>
    <xf numFmtId="0" fontId="5" fillId="0" borderId="0" xfId="2" quotePrefix="1" applyFont="1"/>
    <xf numFmtId="0" fontId="16" fillId="0" borderId="19" xfId="0" applyFont="1" applyBorder="1"/>
    <xf numFmtId="0" fontId="16" fillId="0" borderId="0" xfId="0" applyFont="1" applyBorder="1"/>
    <xf numFmtId="0" fontId="16" fillId="0" borderId="8" xfId="0" applyFont="1" applyBorder="1"/>
    <xf numFmtId="0" fontId="16" fillId="0" borderId="21" xfId="0" applyFont="1" applyBorder="1"/>
    <xf numFmtId="0" fontId="16" fillId="0" borderId="1" xfId="0" applyFont="1" applyBorder="1"/>
    <xf numFmtId="0" fontId="16" fillId="0" borderId="11" xfId="0" applyFont="1" applyBorder="1"/>
    <xf numFmtId="0" fontId="16" fillId="0" borderId="18" xfId="0" applyFont="1" applyBorder="1"/>
    <xf numFmtId="0" fontId="16" fillId="0" borderId="20" xfId="0" applyFont="1" applyBorder="1"/>
    <xf numFmtId="0" fontId="16" fillId="0" borderId="22" xfId="0" applyFont="1" applyBorder="1"/>
    <xf numFmtId="0" fontId="0" fillId="0" borderId="0" xfId="0" applyBorder="1"/>
    <xf numFmtId="0" fontId="0" fillId="2" borderId="0" xfId="0" applyFill="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xf numFmtId="0" fontId="0" fillId="0" borderId="32" xfId="0" applyBorder="1"/>
    <xf numFmtId="0" fontId="0" fillId="0" borderId="32" xfId="0" quotePrefix="1" applyBorder="1"/>
    <xf numFmtId="0" fontId="0" fillId="0" borderId="33" xfId="0" applyBorder="1"/>
    <xf numFmtId="0" fontId="0" fillId="0" borderId="31" xfId="0" applyBorder="1"/>
    <xf numFmtId="0" fontId="0" fillId="0" borderId="32" xfId="0" applyBorder="1" applyAlignment="1">
      <alignment horizontal="center"/>
    </xf>
    <xf numFmtId="15" fontId="0" fillId="0" borderId="31" xfId="0" applyNumberFormat="1" applyBorder="1"/>
    <xf numFmtId="15" fontId="0" fillId="0" borderId="31" xfId="0" applyNumberFormat="1" applyBorder="1" applyAlignment="1">
      <alignment wrapText="1"/>
    </xf>
    <xf numFmtId="0" fontId="9" fillId="0" borderId="12" xfId="4" applyFont="1" applyBorder="1" applyAlignment="1">
      <alignment horizontal="center"/>
    </xf>
    <xf numFmtId="0" fontId="9" fillId="0" borderId="13" xfId="4" applyFont="1" applyBorder="1" applyAlignment="1">
      <alignment horizontal="center"/>
    </xf>
    <xf numFmtId="0" fontId="9" fillId="0" borderId="14" xfId="4" applyFont="1" applyBorder="1" applyAlignment="1">
      <alignment horizontal="center"/>
    </xf>
    <xf numFmtId="0" fontId="10" fillId="0" borderId="13" xfId="4" applyFont="1" applyBorder="1" applyAlignment="1">
      <alignment horizontal="center"/>
    </xf>
    <xf numFmtId="0" fontId="10" fillId="0" borderId="14" xfId="4" applyFont="1" applyBorder="1" applyAlignment="1">
      <alignment horizontal="center"/>
    </xf>
    <xf numFmtId="0" fontId="8" fillId="0" borderId="23" xfId="4" applyFont="1" applyBorder="1" applyAlignment="1">
      <alignment horizontal="center" wrapText="1"/>
    </xf>
    <xf numFmtId="0" fontId="4" fillId="0" borderId="24" xfId="3" applyBorder="1" applyAlignment="1">
      <alignment horizontal="center" wrapText="1"/>
    </xf>
    <xf numFmtId="0" fontId="16" fillId="0" borderId="15" xfId="0" applyFont="1" applyBorder="1" applyAlignment="1">
      <alignment horizontal="center"/>
    </xf>
    <xf numFmtId="0" fontId="16" fillId="0" borderId="16" xfId="0" applyFont="1" applyBorder="1" applyAlignment="1">
      <alignment horizontal="center"/>
    </xf>
    <xf numFmtId="0" fontId="16" fillId="0" borderId="17" xfId="0" applyFont="1"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0" fillId="0" borderId="34" xfId="0" applyBorder="1" applyAlignment="1">
      <alignment horizontal="center"/>
    </xf>
    <xf numFmtId="0" fontId="0" fillId="0" borderId="38" xfId="0" applyBorder="1" applyAlignment="1">
      <alignment horizontal="center"/>
    </xf>
    <xf numFmtId="0" fontId="19" fillId="0" borderId="0" xfId="0" applyFont="1"/>
    <xf numFmtId="0" fontId="20" fillId="0" borderId="0" xfId="0" applyFont="1"/>
  </cellXfs>
  <cellStyles count="6">
    <cellStyle name="Normal" xfId="0" builtinId="0"/>
    <cellStyle name="Normal_AutoCorr" xfId="1" xr:uid="{00000000-0005-0000-0000-000001000000}"/>
    <cellStyle name="Normal_BiVarAndMultiVarNormalFunction" xfId="2" xr:uid="{00000000-0005-0000-0000-000002000000}"/>
    <cellStyle name="Normal_MCSim" xfId="3" xr:uid="{00000000-0005-0000-0000-000003000000}"/>
    <cellStyle name="Normal_MonteCarlo" xfId="4" xr:uid="{00000000-0005-0000-0000-000004000000}"/>
    <cellStyle name="Percent" xfId="5"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CA"/>
              <a:t>Histogram of Var1</a:t>
            </a:r>
          </a:p>
        </c:rich>
      </c:tx>
      <c:layout>
        <c:manualLayout>
          <c:xMode val="edge"/>
          <c:yMode val="edge"/>
          <c:x val="0.3844109919782055"/>
          <c:y val="4.3234498016063029E-2"/>
        </c:manualLayout>
      </c:layout>
      <c:overlay val="0"/>
      <c:spPr>
        <a:noFill/>
        <a:ln w="25400">
          <a:noFill/>
        </a:ln>
      </c:spPr>
    </c:title>
    <c:autoTitleDeleted val="0"/>
    <c:plotArea>
      <c:layout>
        <c:manualLayout>
          <c:layoutTarget val="inner"/>
          <c:xMode val="edge"/>
          <c:yMode val="edge"/>
          <c:x val="4.3234488095348286E-2"/>
          <c:y val="0.19173559989732303"/>
          <c:w val="0.91450341123421452"/>
          <c:h val="0.66731507807401635"/>
        </c:manualLayout>
      </c:layout>
      <c:scatterChart>
        <c:scatterStyle val="lineMarker"/>
        <c:varyColors val="0"/>
        <c:ser>
          <c:idx val="0"/>
          <c:order val="0"/>
          <c:spPr>
            <a:ln w="12700">
              <a:solidFill>
                <a:srgbClr val="000080"/>
              </a:solidFill>
              <a:prstDash val="solid"/>
            </a:ln>
          </c:spPr>
          <c:marker>
            <c:symbol val="none"/>
          </c:marker>
          <c:xVal>
            <c:numRef>
              <c:f>Expo!$AK$1:$AK$106</c:f>
              <c:numCache>
                <c:formatCode>General</c:formatCode>
                <c:ptCount val="106"/>
                <c:pt idx="0">
                  <c:v>-5</c:v>
                </c:pt>
                <c:pt idx="1">
                  <c:v>-5</c:v>
                </c:pt>
                <c:pt idx="2">
                  <c:v>-4</c:v>
                </c:pt>
                <c:pt idx="3">
                  <c:v>-4</c:v>
                </c:pt>
                <c:pt idx="4">
                  <c:v>-3</c:v>
                </c:pt>
                <c:pt idx="5">
                  <c:v>-3</c:v>
                </c:pt>
                <c:pt idx="6">
                  <c:v>-2</c:v>
                </c:pt>
                <c:pt idx="7">
                  <c:v>-2</c:v>
                </c:pt>
                <c:pt idx="8">
                  <c:v>-1</c:v>
                </c:pt>
                <c:pt idx="9">
                  <c:v>-1</c:v>
                </c:pt>
                <c:pt idx="10">
                  <c:v>0</c:v>
                </c:pt>
                <c:pt idx="11">
                  <c:v>0</c:v>
                </c:pt>
                <c:pt idx="12">
                  <c:v>1</c:v>
                </c:pt>
                <c:pt idx="13">
                  <c:v>1</c:v>
                </c:pt>
                <c:pt idx="14">
                  <c:v>2</c:v>
                </c:pt>
                <c:pt idx="15">
                  <c:v>2</c:v>
                </c:pt>
                <c:pt idx="16">
                  <c:v>3</c:v>
                </c:pt>
                <c:pt idx="17">
                  <c:v>3</c:v>
                </c:pt>
                <c:pt idx="18">
                  <c:v>4</c:v>
                </c:pt>
                <c:pt idx="19">
                  <c:v>4</c:v>
                </c:pt>
                <c:pt idx="20">
                  <c:v>5</c:v>
                </c:pt>
                <c:pt idx="21">
                  <c:v>5</c:v>
                </c:pt>
                <c:pt idx="22">
                  <c:v>6</c:v>
                </c:pt>
                <c:pt idx="23">
                  <c:v>6</c:v>
                </c:pt>
                <c:pt idx="24">
                  <c:v>7</c:v>
                </c:pt>
                <c:pt idx="25">
                  <c:v>7</c:v>
                </c:pt>
                <c:pt idx="26">
                  <c:v>8</c:v>
                </c:pt>
                <c:pt idx="27">
                  <c:v>8</c:v>
                </c:pt>
                <c:pt idx="28">
                  <c:v>9</c:v>
                </c:pt>
                <c:pt idx="29">
                  <c:v>9</c:v>
                </c:pt>
                <c:pt idx="30">
                  <c:v>10</c:v>
                </c:pt>
                <c:pt idx="31">
                  <c:v>10</c:v>
                </c:pt>
                <c:pt idx="32">
                  <c:v>11</c:v>
                </c:pt>
                <c:pt idx="33">
                  <c:v>11</c:v>
                </c:pt>
                <c:pt idx="34">
                  <c:v>12</c:v>
                </c:pt>
                <c:pt idx="35">
                  <c:v>12</c:v>
                </c:pt>
                <c:pt idx="36">
                  <c:v>13</c:v>
                </c:pt>
                <c:pt idx="37">
                  <c:v>13</c:v>
                </c:pt>
                <c:pt idx="38">
                  <c:v>14</c:v>
                </c:pt>
                <c:pt idx="39">
                  <c:v>14</c:v>
                </c:pt>
                <c:pt idx="40">
                  <c:v>15</c:v>
                </c:pt>
                <c:pt idx="41">
                  <c:v>15</c:v>
                </c:pt>
                <c:pt idx="42">
                  <c:v>16</c:v>
                </c:pt>
                <c:pt idx="43">
                  <c:v>16</c:v>
                </c:pt>
                <c:pt idx="44">
                  <c:v>17</c:v>
                </c:pt>
                <c:pt idx="45">
                  <c:v>17</c:v>
                </c:pt>
                <c:pt idx="46">
                  <c:v>18</c:v>
                </c:pt>
                <c:pt idx="47">
                  <c:v>18</c:v>
                </c:pt>
                <c:pt idx="48">
                  <c:v>19</c:v>
                </c:pt>
                <c:pt idx="49">
                  <c:v>19</c:v>
                </c:pt>
                <c:pt idx="50">
                  <c:v>20</c:v>
                </c:pt>
                <c:pt idx="51">
                  <c:v>20</c:v>
                </c:pt>
                <c:pt idx="52">
                  <c:v>21</c:v>
                </c:pt>
                <c:pt idx="53">
                  <c:v>21</c:v>
                </c:pt>
                <c:pt idx="54">
                  <c:v>22</c:v>
                </c:pt>
                <c:pt idx="55">
                  <c:v>22</c:v>
                </c:pt>
                <c:pt idx="56">
                  <c:v>23</c:v>
                </c:pt>
                <c:pt idx="57">
                  <c:v>23</c:v>
                </c:pt>
                <c:pt idx="58">
                  <c:v>24</c:v>
                </c:pt>
                <c:pt idx="59">
                  <c:v>24</c:v>
                </c:pt>
                <c:pt idx="60">
                  <c:v>25</c:v>
                </c:pt>
                <c:pt idx="61">
                  <c:v>25</c:v>
                </c:pt>
                <c:pt idx="62">
                  <c:v>26</c:v>
                </c:pt>
                <c:pt idx="63">
                  <c:v>26</c:v>
                </c:pt>
                <c:pt idx="64">
                  <c:v>27</c:v>
                </c:pt>
                <c:pt idx="65">
                  <c:v>27</c:v>
                </c:pt>
                <c:pt idx="66">
                  <c:v>28</c:v>
                </c:pt>
                <c:pt idx="67">
                  <c:v>28</c:v>
                </c:pt>
                <c:pt idx="68">
                  <c:v>29</c:v>
                </c:pt>
                <c:pt idx="69">
                  <c:v>29</c:v>
                </c:pt>
                <c:pt idx="70">
                  <c:v>30</c:v>
                </c:pt>
                <c:pt idx="71">
                  <c:v>30</c:v>
                </c:pt>
                <c:pt idx="72">
                  <c:v>31</c:v>
                </c:pt>
                <c:pt idx="73">
                  <c:v>31</c:v>
                </c:pt>
                <c:pt idx="74">
                  <c:v>32</c:v>
                </c:pt>
                <c:pt idx="75">
                  <c:v>32</c:v>
                </c:pt>
                <c:pt idx="76">
                  <c:v>33</c:v>
                </c:pt>
                <c:pt idx="77">
                  <c:v>33</c:v>
                </c:pt>
                <c:pt idx="78">
                  <c:v>34</c:v>
                </c:pt>
                <c:pt idx="79">
                  <c:v>34</c:v>
                </c:pt>
                <c:pt idx="80">
                  <c:v>35</c:v>
                </c:pt>
                <c:pt idx="81">
                  <c:v>35</c:v>
                </c:pt>
                <c:pt idx="82">
                  <c:v>36</c:v>
                </c:pt>
                <c:pt idx="83">
                  <c:v>36</c:v>
                </c:pt>
                <c:pt idx="84">
                  <c:v>37</c:v>
                </c:pt>
                <c:pt idx="85">
                  <c:v>37</c:v>
                </c:pt>
                <c:pt idx="86">
                  <c:v>38</c:v>
                </c:pt>
                <c:pt idx="87">
                  <c:v>38</c:v>
                </c:pt>
                <c:pt idx="88">
                  <c:v>39</c:v>
                </c:pt>
                <c:pt idx="89">
                  <c:v>39</c:v>
                </c:pt>
                <c:pt idx="90">
                  <c:v>40</c:v>
                </c:pt>
                <c:pt idx="91">
                  <c:v>40</c:v>
                </c:pt>
                <c:pt idx="92">
                  <c:v>41</c:v>
                </c:pt>
                <c:pt idx="93">
                  <c:v>41</c:v>
                </c:pt>
                <c:pt idx="94">
                  <c:v>42</c:v>
                </c:pt>
                <c:pt idx="95">
                  <c:v>42</c:v>
                </c:pt>
                <c:pt idx="96">
                  <c:v>43</c:v>
                </c:pt>
                <c:pt idx="97">
                  <c:v>43</c:v>
                </c:pt>
                <c:pt idx="98">
                  <c:v>44</c:v>
                </c:pt>
                <c:pt idx="99">
                  <c:v>44</c:v>
                </c:pt>
                <c:pt idx="100">
                  <c:v>45</c:v>
                </c:pt>
                <c:pt idx="101">
                  <c:v>45</c:v>
                </c:pt>
                <c:pt idx="102">
                  <c:v>46</c:v>
                </c:pt>
                <c:pt idx="103">
                  <c:v>46</c:v>
                </c:pt>
                <c:pt idx="104">
                  <c:v>47</c:v>
                </c:pt>
                <c:pt idx="105">
                  <c:v>47</c:v>
                </c:pt>
              </c:numCache>
            </c:numRef>
          </c:xVal>
          <c:yVal>
            <c:numRef>
              <c:f>Expo!$AL$1:$AL$106</c:f>
              <c:numCache>
                <c:formatCode>General</c:formatCode>
                <c:ptCount val="106"/>
                <c:pt idx="0">
                  <c:v>0</c:v>
                </c:pt>
                <c:pt idx="1">
                  <c:v>1835</c:v>
                </c:pt>
                <c:pt idx="2">
                  <c:v>1835</c:v>
                </c:pt>
                <c:pt idx="3">
                  <c:v>1455</c:v>
                </c:pt>
                <c:pt idx="4">
                  <c:v>1455</c:v>
                </c:pt>
                <c:pt idx="5">
                  <c:v>1181</c:v>
                </c:pt>
                <c:pt idx="6">
                  <c:v>1181</c:v>
                </c:pt>
                <c:pt idx="7">
                  <c:v>1003</c:v>
                </c:pt>
                <c:pt idx="8">
                  <c:v>1003</c:v>
                </c:pt>
                <c:pt idx="9">
                  <c:v>865</c:v>
                </c:pt>
                <c:pt idx="10">
                  <c:v>865</c:v>
                </c:pt>
                <c:pt idx="11">
                  <c:v>706</c:v>
                </c:pt>
                <c:pt idx="12">
                  <c:v>706</c:v>
                </c:pt>
                <c:pt idx="13">
                  <c:v>587</c:v>
                </c:pt>
                <c:pt idx="14">
                  <c:v>587</c:v>
                </c:pt>
                <c:pt idx="15">
                  <c:v>437</c:v>
                </c:pt>
                <c:pt idx="16">
                  <c:v>437</c:v>
                </c:pt>
                <c:pt idx="17">
                  <c:v>321</c:v>
                </c:pt>
                <c:pt idx="18">
                  <c:v>321</c:v>
                </c:pt>
                <c:pt idx="19">
                  <c:v>312</c:v>
                </c:pt>
                <c:pt idx="20">
                  <c:v>312</c:v>
                </c:pt>
                <c:pt idx="21">
                  <c:v>242</c:v>
                </c:pt>
                <c:pt idx="22">
                  <c:v>242</c:v>
                </c:pt>
                <c:pt idx="23">
                  <c:v>207</c:v>
                </c:pt>
                <c:pt idx="24">
                  <c:v>207</c:v>
                </c:pt>
                <c:pt idx="25">
                  <c:v>166</c:v>
                </c:pt>
                <c:pt idx="26">
                  <c:v>166</c:v>
                </c:pt>
                <c:pt idx="27">
                  <c:v>119</c:v>
                </c:pt>
                <c:pt idx="28">
                  <c:v>119</c:v>
                </c:pt>
                <c:pt idx="29">
                  <c:v>80</c:v>
                </c:pt>
                <c:pt idx="30">
                  <c:v>80</c:v>
                </c:pt>
                <c:pt idx="31">
                  <c:v>91</c:v>
                </c:pt>
                <c:pt idx="32">
                  <c:v>91</c:v>
                </c:pt>
                <c:pt idx="33">
                  <c:v>63</c:v>
                </c:pt>
                <c:pt idx="34">
                  <c:v>63</c:v>
                </c:pt>
                <c:pt idx="35">
                  <c:v>61</c:v>
                </c:pt>
                <c:pt idx="36">
                  <c:v>61</c:v>
                </c:pt>
                <c:pt idx="37">
                  <c:v>52</c:v>
                </c:pt>
                <c:pt idx="38">
                  <c:v>52</c:v>
                </c:pt>
                <c:pt idx="39">
                  <c:v>38</c:v>
                </c:pt>
                <c:pt idx="40">
                  <c:v>38</c:v>
                </c:pt>
                <c:pt idx="41">
                  <c:v>24</c:v>
                </c:pt>
                <c:pt idx="42">
                  <c:v>24</c:v>
                </c:pt>
                <c:pt idx="43">
                  <c:v>28</c:v>
                </c:pt>
                <c:pt idx="44">
                  <c:v>28</c:v>
                </c:pt>
                <c:pt idx="45">
                  <c:v>24</c:v>
                </c:pt>
                <c:pt idx="46">
                  <c:v>24</c:v>
                </c:pt>
                <c:pt idx="47">
                  <c:v>19</c:v>
                </c:pt>
                <c:pt idx="48">
                  <c:v>19</c:v>
                </c:pt>
                <c:pt idx="49">
                  <c:v>14</c:v>
                </c:pt>
                <c:pt idx="50">
                  <c:v>14</c:v>
                </c:pt>
                <c:pt idx="51">
                  <c:v>11</c:v>
                </c:pt>
                <c:pt idx="52">
                  <c:v>11</c:v>
                </c:pt>
                <c:pt idx="53">
                  <c:v>9</c:v>
                </c:pt>
                <c:pt idx="54">
                  <c:v>9</c:v>
                </c:pt>
                <c:pt idx="55">
                  <c:v>10</c:v>
                </c:pt>
                <c:pt idx="56">
                  <c:v>10</c:v>
                </c:pt>
                <c:pt idx="57">
                  <c:v>3</c:v>
                </c:pt>
                <c:pt idx="58">
                  <c:v>3</c:v>
                </c:pt>
                <c:pt idx="59">
                  <c:v>5</c:v>
                </c:pt>
                <c:pt idx="60">
                  <c:v>5</c:v>
                </c:pt>
                <c:pt idx="61">
                  <c:v>5</c:v>
                </c:pt>
                <c:pt idx="62">
                  <c:v>5</c:v>
                </c:pt>
                <c:pt idx="63">
                  <c:v>5</c:v>
                </c:pt>
                <c:pt idx="64">
                  <c:v>5</c:v>
                </c:pt>
                <c:pt idx="65">
                  <c:v>4</c:v>
                </c:pt>
                <c:pt idx="66">
                  <c:v>4</c:v>
                </c:pt>
                <c:pt idx="67">
                  <c:v>2</c:v>
                </c:pt>
                <c:pt idx="68">
                  <c:v>2</c:v>
                </c:pt>
                <c:pt idx="69">
                  <c:v>2</c:v>
                </c:pt>
                <c:pt idx="70">
                  <c:v>2</c:v>
                </c:pt>
                <c:pt idx="71">
                  <c:v>2</c:v>
                </c:pt>
                <c:pt idx="72">
                  <c:v>2</c:v>
                </c:pt>
                <c:pt idx="73">
                  <c:v>3</c:v>
                </c:pt>
                <c:pt idx="74">
                  <c:v>3</c:v>
                </c:pt>
                <c:pt idx="75">
                  <c:v>5</c:v>
                </c:pt>
                <c:pt idx="76">
                  <c:v>5</c:v>
                </c:pt>
                <c:pt idx="77">
                  <c:v>0</c:v>
                </c:pt>
                <c:pt idx="78">
                  <c:v>0</c:v>
                </c:pt>
                <c:pt idx="79">
                  <c:v>0</c:v>
                </c:pt>
                <c:pt idx="80">
                  <c:v>0</c:v>
                </c:pt>
                <c:pt idx="81">
                  <c:v>2</c:v>
                </c:pt>
                <c:pt idx="82">
                  <c:v>2</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pt idx="100">
                  <c:v>1</c:v>
                </c:pt>
                <c:pt idx="101">
                  <c:v>0</c:v>
                </c:pt>
                <c:pt idx="102">
                  <c:v>0</c:v>
                </c:pt>
                <c:pt idx="103">
                  <c:v>1</c:v>
                </c:pt>
                <c:pt idx="104">
                  <c:v>1</c:v>
                </c:pt>
                <c:pt idx="105">
                  <c:v>0</c:v>
                </c:pt>
              </c:numCache>
            </c:numRef>
          </c:yVal>
          <c:smooth val="0"/>
          <c:extLst>
            <c:ext xmlns:c16="http://schemas.microsoft.com/office/drawing/2014/chart" uri="{C3380CC4-5D6E-409C-BE32-E72D297353CC}">
              <c16:uniqueId val="{00000000-10F6-4398-9524-AAA32B0C507B}"/>
            </c:ext>
          </c:extLst>
        </c:ser>
        <c:dLbls>
          <c:showLegendKey val="0"/>
          <c:showVal val="0"/>
          <c:showCatName val="0"/>
          <c:showSerName val="0"/>
          <c:showPercent val="0"/>
          <c:showBubbleSize val="0"/>
        </c:dLbls>
        <c:axId val="103564800"/>
        <c:axId val="103566336"/>
      </c:scatterChart>
      <c:valAx>
        <c:axId val="103564800"/>
        <c:scaling>
          <c:orientation val="minMax"/>
          <c:max val="47"/>
          <c:min val="-5"/>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103566336"/>
        <c:crosses val="autoZero"/>
        <c:crossBetween val="midCat"/>
      </c:valAx>
      <c:valAx>
        <c:axId val="103566336"/>
        <c:scaling>
          <c:orientation val="minMax"/>
        </c:scaling>
        <c:delete val="1"/>
        <c:axPos val="l"/>
        <c:numFmt formatCode="General" sourceLinked="1"/>
        <c:majorTickMark val="out"/>
        <c:minorTickMark val="none"/>
        <c:tickLblPos val="none"/>
        <c:crossAx val="10356480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0" i="0" u="none" strike="noStrike" baseline="0">
                <a:solidFill>
                  <a:srgbClr val="000000"/>
                </a:solidFill>
                <a:latin typeface="Arial"/>
                <a:ea typeface="Arial"/>
                <a:cs typeface="Arial"/>
              </a:defRPr>
            </a:pPr>
            <a:r>
              <a:rPr lang="en-CA"/>
              <a:t>Histogram of $B$66</a:t>
            </a:r>
          </a:p>
        </c:rich>
      </c:tx>
      <c:layout>
        <c:manualLayout>
          <c:xMode val="edge"/>
          <c:yMode val="edge"/>
          <c:x val="0.35610042404517672"/>
          <c:y val="3.7816416427047313E-2"/>
        </c:manualLayout>
      </c:layout>
      <c:overlay val="0"/>
      <c:spPr>
        <a:noFill/>
        <a:ln w="25400">
          <a:noFill/>
        </a:ln>
      </c:spPr>
    </c:title>
    <c:autoTitleDeleted val="0"/>
    <c:plotArea>
      <c:layout>
        <c:manualLayout>
          <c:layoutTarget val="inner"/>
          <c:xMode val="edge"/>
          <c:yMode val="edge"/>
          <c:x val="5.71974774373082E-2"/>
          <c:y val="0.16947356991380452"/>
          <c:w val="0.8865609002782765"/>
          <c:h val="0.69330096782920048"/>
        </c:manualLayout>
      </c:layout>
      <c:scatterChart>
        <c:scatterStyle val="lineMarker"/>
        <c:varyColors val="0"/>
        <c:ser>
          <c:idx val="0"/>
          <c:order val="0"/>
          <c:tx>
            <c:strRef>
              <c:f>MCSim4!$AL$1</c:f>
              <c:strCache>
                <c:ptCount val="1"/>
                <c:pt idx="0">
                  <c:v>$B$66</c:v>
                </c:pt>
              </c:strCache>
            </c:strRef>
          </c:tx>
          <c:spPr>
            <a:ln w="12700">
              <a:solidFill>
                <a:srgbClr val="000080"/>
              </a:solidFill>
              <a:prstDash val="solid"/>
            </a:ln>
          </c:spPr>
          <c:marker>
            <c:symbol val="none"/>
          </c:marker>
          <c:xVal>
            <c:numRef>
              <c:f>MCSim4!$AK$2:$AK$67</c:f>
              <c:numCache>
                <c:formatCode>General</c:formatCode>
                <c:ptCount val="66"/>
                <c:pt idx="0">
                  <c:v>-9.5</c:v>
                </c:pt>
                <c:pt idx="1">
                  <c:v>-9.5</c:v>
                </c:pt>
                <c:pt idx="2">
                  <c:v>-9</c:v>
                </c:pt>
                <c:pt idx="3">
                  <c:v>-9</c:v>
                </c:pt>
                <c:pt idx="4">
                  <c:v>-8.5</c:v>
                </c:pt>
                <c:pt idx="5">
                  <c:v>-8.5</c:v>
                </c:pt>
                <c:pt idx="6">
                  <c:v>-8</c:v>
                </c:pt>
                <c:pt idx="7">
                  <c:v>-8</c:v>
                </c:pt>
                <c:pt idx="8">
                  <c:v>-7.5</c:v>
                </c:pt>
                <c:pt idx="9">
                  <c:v>-7.5</c:v>
                </c:pt>
                <c:pt idx="10">
                  <c:v>-7</c:v>
                </c:pt>
                <c:pt idx="11">
                  <c:v>-7</c:v>
                </c:pt>
                <c:pt idx="12">
                  <c:v>-6.5</c:v>
                </c:pt>
                <c:pt idx="13">
                  <c:v>-6.5</c:v>
                </c:pt>
                <c:pt idx="14">
                  <c:v>-6</c:v>
                </c:pt>
                <c:pt idx="15">
                  <c:v>-6</c:v>
                </c:pt>
                <c:pt idx="16">
                  <c:v>-5.5</c:v>
                </c:pt>
                <c:pt idx="17">
                  <c:v>-5.5</c:v>
                </c:pt>
                <c:pt idx="18">
                  <c:v>-5</c:v>
                </c:pt>
                <c:pt idx="19">
                  <c:v>-5</c:v>
                </c:pt>
                <c:pt idx="20">
                  <c:v>-4.5</c:v>
                </c:pt>
                <c:pt idx="21">
                  <c:v>-4.5</c:v>
                </c:pt>
                <c:pt idx="22">
                  <c:v>-4</c:v>
                </c:pt>
                <c:pt idx="23">
                  <c:v>-4</c:v>
                </c:pt>
                <c:pt idx="24">
                  <c:v>-3.5</c:v>
                </c:pt>
                <c:pt idx="25">
                  <c:v>-3.5</c:v>
                </c:pt>
                <c:pt idx="26">
                  <c:v>-3</c:v>
                </c:pt>
                <c:pt idx="27">
                  <c:v>-3</c:v>
                </c:pt>
                <c:pt idx="28">
                  <c:v>-2.5</c:v>
                </c:pt>
                <c:pt idx="29">
                  <c:v>-2.5</c:v>
                </c:pt>
                <c:pt idx="30">
                  <c:v>-2</c:v>
                </c:pt>
                <c:pt idx="31">
                  <c:v>-2</c:v>
                </c:pt>
                <c:pt idx="32">
                  <c:v>-1.5</c:v>
                </c:pt>
                <c:pt idx="33">
                  <c:v>-1.5</c:v>
                </c:pt>
                <c:pt idx="34">
                  <c:v>-1</c:v>
                </c:pt>
                <c:pt idx="35">
                  <c:v>-1</c:v>
                </c:pt>
                <c:pt idx="36">
                  <c:v>-0.5</c:v>
                </c:pt>
                <c:pt idx="37">
                  <c:v>-0.5</c:v>
                </c:pt>
                <c:pt idx="38">
                  <c:v>0</c:v>
                </c:pt>
                <c:pt idx="39">
                  <c:v>0</c:v>
                </c:pt>
                <c:pt idx="40">
                  <c:v>0.5</c:v>
                </c:pt>
                <c:pt idx="41">
                  <c:v>0.5</c:v>
                </c:pt>
                <c:pt idx="42">
                  <c:v>1</c:v>
                </c:pt>
                <c:pt idx="43">
                  <c:v>1</c:v>
                </c:pt>
                <c:pt idx="44">
                  <c:v>1.5</c:v>
                </c:pt>
                <c:pt idx="45">
                  <c:v>1.5</c:v>
                </c:pt>
                <c:pt idx="46">
                  <c:v>2</c:v>
                </c:pt>
                <c:pt idx="47">
                  <c:v>2</c:v>
                </c:pt>
                <c:pt idx="48">
                  <c:v>2.5</c:v>
                </c:pt>
                <c:pt idx="49">
                  <c:v>2.5</c:v>
                </c:pt>
                <c:pt idx="50">
                  <c:v>3</c:v>
                </c:pt>
                <c:pt idx="51">
                  <c:v>3</c:v>
                </c:pt>
                <c:pt idx="52">
                  <c:v>3.5</c:v>
                </c:pt>
                <c:pt idx="53">
                  <c:v>3.5</c:v>
                </c:pt>
                <c:pt idx="54">
                  <c:v>4</c:v>
                </c:pt>
                <c:pt idx="55">
                  <c:v>4</c:v>
                </c:pt>
                <c:pt idx="56">
                  <c:v>4.5</c:v>
                </c:pt>
                <c:pt idx="57">
                  <c:v>4.5</c:v>
                </c:pt>
                <c:pt idx="58">
                  <c:v>5</c:v>
                </c:pt>
                <c:pt idx="59">
                  <c:v>5</c:v>
                </c:pt>
                <c:pt idx="60">
                  <c:v>5.5</c:v>
                </c:pt>
                <c:pt idx="61">
                  <c:v>5.5</c:v>
                </c:pt>
                <c:pt idx="62">
                  <c:v>6</c:v>
                </c:pt>
                <c:pt idx="63">
                  <c:v>6</c:v>
                </c:pt>
                <c:pt idx="64">
                  <c:v>6.5</c:v>
                </c:pt>
                <c:pt idx="65">
                  <c:v>6.5</c:v>
                </c:pt>
              </c:numCache>
            </c:numRef>
          </c:xVal>
          <c:yVal>
            <c:numRef>
              <c:f>MCSim4!$AL$2:$AL$67</c:f>
              <c:numCache>
                <c:formatCode>General</c:formatCode>
                <c:ptCount val="66"/>
                <c:pt idx="0">
                  <c:v>0</c:v>
                </c:pt>
                <c:pt idx="1">
                  <c:v>1</c:v>
                </c:pt>
                <c:pt idx="2">
                  <c:v>1</c:v>
                </c:pt>
                <c:pt idx="3">
                  <c:v>0</c:v>
                </c:pt>
                <c:pt idx="4">
                  <c:v>0</c:v>
                </c:pt>
                <c:pt idx="5">
                  <c:v>1</c:v>
                </c:pt>
                <c:pt idx="6">
                  <c:v>1</c:v>
                </c:pt>
                <c:pt idx="7">
                  <c:v>0</c:v>
                </c:pt>
                <c:pt idx="8">
                  <c:v>0</c:v>
                </c:pt>
                <c:pt idx="9">
                  <c:v>0</c:v>
                </c:pt>
                <c:pt idx="10">
                  <c:v>0</c:v>
                </c:pt>
                <c:pt idx="11">
                  <c:v>0</c:v>
                </c:pt>
                <c:pt idx="12">
                  <c:v>0</c:v>
                </c:pt>
                <c:pt idx="13">
                  <c:v>1</c:v>
                </c:pt>
                <c:pt idx="14">
                  <c:v>1</c:v>
                </c:pt>
                <c:pt idx="15">
                  <c:v>0</c:v>
                </c:pt>
                <c:pt idx="16">
                  <c:v>0</c:v>
                </c:pt>
                <c:pt idx="17">
                  <c:v>2</c:v>
                </c:pt>
                <c:pt idx="18">
                  <c:v>2</c:v>
                </c:pt>
                <c:pt idx="19">
                  <c:v>2</c:v>
                </c:pt>
                <c:pt idx="20">
                  <c:v>2</c:v>
                </c:pt>
                <c:pt idx="21">
                  <c:v>2</c:v>
                </c:pt>
                <c:pt idx="22">
                  <c:v>2</c:v>
                </c:pt>
                <c:pt idx="23">
                  <c:v>6</c:v>
                </c:pt>
                <c:pt idx="24">
                  <c:v>6</c:v>
                </c:pt>
                <c:pt idx="25">
                  <c:v>8</c:v>
                </c:pt>
                <c:pt idx="26">
                  <c:v>8</c:v>
                </c:pt>
                <c:pt idx="27">
                  <c:v>9</c:v>
                </c:pt>
                <c:pt idx="28">
                  <c:v>9</c:v>
                </c:pt>
                <c:pt idx="29">
                  <c:v>19</c:v>
                </c:pt>
                <c:pt idx="30">
                  <c:v>19</c:v>
                </c:pt>
                <c:pt idx="31">
                  <c:v>50</c:v>
                </c:pt>
                <c:pt idx="32">
                  <c:v>50</c:v>
                </c:pt>
                <c:pt idx="33">
                  <c:v>89</c:v>
                </c:pt>
                <c:pt idx="34">
                  <c:v>89</c:v>
                </c:pt>
                <c:pt idx="35">
                  <c:v>136</c:v>
                </c:pt>
                <c:pt idx="36">
                  <c:v>136</c:v>
                </c:pt>
                <c:pt idx="37">
                  <c:v>199</c:v>
                </c:pt>
                <c:pt idx="38">
                  <c:v>199</c:v>
                </c:pt>
                <c:pt idx="39">
                  <c:v>174</c:v>
                </c:pt>
                <c:pt idx="40">
                  <c:v>174</c:v>
                </c:pt>
                <c:pt idx="41">
                  <c:v>127</c:v>
                </c:pt>
                <c:pt idx="42">
                  <c:v>127</c:v>
                </c:pt>
                <c:pt idx="43">
                  <c:v>71</c:v>
                </c:pt>
                <c:pt idx="44">
                  <c:v>71</c:v>
                </c:pt>
                <c:pt idx="45">
                  <c:v>48</c:v>
                </c:pt>
                <c:pt idx="46">
                  <c:v>48</c:v>
                </c:pt>
                <c:pt idx="47">
                  <c:v>21</c:v>
                </c:pt>
                <c:pt idx="48">
                  <c:v>21</c:v>
                </c:pt>
                <c:pt idx="49">
                  <c:v>11</c:v>
                </c:pt>
                <c:pt idx="50">
                  <c:v>11</c:v>
                </c:pt>
                <c:pt idx="51">
                  <c:v>10</c:v>
                </c:pt>
                <c:pt idx="52">
                  <c:v>10</c:v>
                </c:pt>
                <c:pt idx="53">
                  <c:v>6</c:v>
                </c:pt>
                <c:pt idx="54">
                  <c:v>6</c:v>
                </c:pt>
                <c:pt idx="55">
                  <c:v>3</c:v>
                </c:pt>
                <c:pt idx="56">
                  <c:v>3</c:v>
                </c:pt>
                <c:pt idx="57">
                  <c:v>2</c:v>
                </c:pt>
                <c:pt idx="58">
                  <c:v>2</c:v>
                </c:pt>
                <c:pt idx="59">
                  <c:v>1</c:v>
                </c:pt>
                <c:pt idx="60">
                  <c:v>1</c:v>
                </c:pt>
                <c:pt idx="61">
                  <c:v>0</c:v>
                </c:pt>
                <c:pt idx="62">
                  <c:v>0</c:v>
                </c:pt>
                <c:pt idx="63">
                  <c:v>1</c:v>
                </c:pt>
                <c:pt idx="64">
                  <c:v>1</c:v>
                </c:pt>
                <c:pt idx="65">
                  <c:v>0</c:v>
                </c:pt>
              </c:numCache>
            </c:numRef>
          </c:yVal>
          <c:smooth val="0"/>
          <c:extLst>
            <c:ext xmlns:c16="http://schemas.microsoft.com/office/drawing/2014/chart" uri="{C3380CC4-5D6E-409C-BE32-E72D297353CC}">
              <c16:uniqueId val="{00000000-D234-4D32-9792-B7E2DE9C3C2E}"/>
            </c:ext>
          </c:extLst>
        </c:ser>
        <c:dLbls>
          <c:showLegendKey val="0"/>
          <c:showVal val="0"/>
          <c:showCatName val="0"/>
          <c:showSerName val="0"/>
          <c:showPercent val="0"/>
          <c:showBubbleSize val="0"/>
        </c:dLbls>
        <c:axId val="105041280"/>
        <c:axId val="105047168"/>
      </c:scatterChart>
      <c:valAx>
        <c:axId val="105041280"/>
        <c:scaling>
          <c:orientation val="minMax"/>
          <c:max val="6.5"/>
          <c:min val="-9.5"/>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05047168"/>
        <c:crosses val="autoZero"/>
        <c:crossBetween val="midCat"/>
      </c:valAx>
      <c:valAx>
        <c:axId val="105047168"/>
        <c:scaling>
          <c:orientation val="minMax"/>
        </c:scaling>
        <c:delete val="1"/>
        <c:axPos val="l"/>
        <c:numFmt formatCode="General" sourceLinked="1"/>
        <c:majorTickMark val="out"/>
        <c:minorTickMark val="none"/>
        <c:tickLblPos val="none"/>
        <c:crossAx val="10504128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0</xdr:colOff>
      <xdr:row>0</xdr:row>
      <xdr:rowOff>0</xdr:rowOff>
    </xdr:from>
    <xdr:to>
      <xdr:col>9</xdr:col>
      <xdr:colOff>0</xdr:colOff>
      <xdr:row>14</xdr:row>
      <xdr:rowOff>0</xdr:rowOff>
    </xdr:to>
    <xdr:graphicFrame macro="">
      <xdr:nvGraphicFramePr>
        <xdr:cNvPr id="3073" name="Chart 1">
          <a:extLst>
            <a:ext uri="{FF2B5EF4-FFF2-40B4-BE49-F238E27FC236}">
              <a16:creationId xmlns:a16="http://schemas.microsoft.com/office/drawing/2014/main" id="{00000000-0008-0000-0200-000001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8</xdr:row>
      <xdr:rowOff>0</xdr:rowOff>
    </xdr:from>
    <xdr:to>
      <xdr:col>14</xdr:col>
      <xdr:colOff>0</xdr:colOff>
      <xdr:row>22</xdr:row>
      <xdr:rowOff>0</xdr:rowOff>
    </xdr:to>
    <xdr:graphicFrame macro="">
      <xdr:nvGraphicFramePr>
        <xdr:cNvPr id="1025" name="EmpHist">
          <a:extLst>
            <a:ext uri="{FF2B5EF4-FFF2-40B4-BE49-F238E27FC236}">
              <a16:creationId xmlns:a16="http://schemas.microsoft.com/office/drawing/2014/main" id="{00000000-0008-0000-0300-00000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102870</xdr:colOff>
      <xdr:row>44</xdr:row>
      <xdr:rowOff>91440</xdr:rowOff>
    </xdr:from>
    <xdr:to>
      <xdr:col>13</xdr:col>
      <xdr:colOff>0</xdr:colOff>
      <xdr:row>59</xdr:row>
      <xdr:rowOff>137160</xdr:rowOff>
    </xdr:to>
    <xdr:sp macro="" textlink="">
      <xdr:nvSpPr>
        <xdr:cNvPr id="4097" name="Text Box 1">
          <a:extLst>
            <a:ext uri="{FF2B5EF4-FFF2-40B4-BE49-F238E27FC236}">
              <a16:creationId xmlns:a16="http://schemas.microsoft.com/office/drawing/2014/main" id="{00000000-0008-0000-0400-000001100000}"/>
            </a:ext>
          </a:extLst>
        </xdr:cNvPr>
        <xdr:cNvSpPr txBox="1">
          <a:spLocks noChangeArrowheads="1"/>
        </xdr:cNvSpPr>
      </xdr:nvSpPr>
      <xdr:spPr bwMode="auto">
        <a:xfrm>
          <a:off x="4480560" y="6995160"/>
          <a:ext cx="3600450" cy="2388870"/>
        </a:xfrm>
        <a:prstGeom prst="rect">
          <a:avLst/>
        </a:prstGeom>
        <a:solidFill>
          <a:srgbClr val="FF99CC"/>
        </a:solidFill>
        <a:ln w="9525">
          <a:solidFill>
            <a:srgbClr val="000000"/>
          </a:solidFill>
          <a:miter lim="800000"/>
          <a:headEnd/>
          <a:tailEnd/>
        </a:ln>
      </xdr:spPr>
      <xdr:txBody>
        <a:bodyPr vertOverflow="clip" wrap="square" lIns="54864" tIns="41148" rIns="0" bIns="0" anchor="t" upright="1"/>
        <a:lstStyle/>
        <a:p>
          <a:pPr algn="l" rtl="0">
            <a:defRPr sz="1000"/>
          </a:pPr>
          <a:r>
            <a:rPr lang="en-CA" sz="1000" b="1" i="0" u="none" strike="noStrike" baseline="0">
              <a:solidFill>
                <a:srgbClr val="000000"/>
              </a:solidFill>
              <a:latin typeface="Arial"/>
              <a:cs typeface="Arial"/>
            </a:rPr>
            <a:t>An important note on creating this table:</a:t>
          </a:r>
          <a:endParaRPr lang="en-CA" sz="1000" b="0" i="0" u="none" strike="noStrike" baseline="0">
            <a:solidFill>
              <a:srgbClr val="000000"/>
            </a:solidFill>
            <a:latin typeface="Arial"/>
            <a:cs typeface="Arial"/>
          </a:endParaRPr>
        </a:p>
        <a:p>
          <a:pPr algn="l" rtl="0">
            <a:defRPr sz="1000"/>
          </a:pPr>
          <a:r>
            <a:rPr lang="en-CA" sz="1000" b="0" i="0" u="none" strike="noStrike" baseline="0">
              <a:solidFill>
                <a:srgbClr val="000000"/>
              </a:solidFill>
              <a:latin typeface="Arial"/>
              <a:cs typeface="Arial"/>
            </a:rPr>
            <a:t>(1) We selected cells E47 to G47.</a:t>
          </a:r>
        </a:p>
        <a:p>
          <a:pPr algn="l" rtl="0">
            <a:defRPr sz="1000"/>
          </a:pPr>
          <a:r>
            <a:rPr lang="en-CA" sz="1000" b="0" i="0" u="none" strike="noStrike" baseline="0">
              <a:solidFill>
                <a:srgbClr val="000000"/>
              </a:solidFill>
              <a:latin typeface="Arial"/>
              <a:cs typeface="Arial"/>
            </a:rPr>
            <a:t>(2) Then we copied the formula into the formula box. </a:t>
          </a:r>
        </a:p>
        <a:p>
          <a:pPr algn="l" rtl="0">
            <a:defRPr sz="1000"/>
          </a:pPr>
          <a:r>
            <a:rPr lang="en-CA" sz="1000" b="0" i="0" u="none" strike="noStrike" baseline="0">
              <a:solidFill>
                <a:srgbClr val="000000"/>
              </a:solidFill>
              <a:latin typeface="Arial"/>
              <a:cs typeface="Arial"/>
            </a:rPr>
            <a:t>(3) We then made the references absolute rather than relative. Thus the formula reads:</a:t>
          </a:r>
        </a:p>
        <a:p>
          <a:pPr algn="l" rtl="0">
            <a:defRPr sz="1000"/>
          </a:pPr>
          <a:r>
            <a:rPr lang="en-CA" sz="1000" b="0" i="0" u="none" strike="noStrike" baseline="0">
              <a:solidFill>
                <a:srgbClr val="000000"/>
              </a:solidFill>
              <a:latin typeface="Arial"/>
              <a:cs typeface="Arial"/>
            </a:rPr>
            <a:t>=MultivarNormal(3,$E$41:$G$43,$H$41:$H$43,$I$41:$I$43)</a:t>
          </a:r>
        </a:p>
        <a:p>
          <a:pPr algn="l" rtl="0">
            <a:defRPr sz="1000"/>
          </a:pPr>
          <a:r>
            <a:rPr lang="en-CA" sz="1000" b="0" i="0" u="none" strike="noStrike" baseline="0">
              <a:solidFill>
                <a:srgbClr val="000000"/>
              </a:solidFill>
              <a:latin typeface="Arial"/>
              <a:cs typeface="Arial"/>
            </a:rPr>
            <a:t>that is it includes the dollar signs.</a:t>
          </a:r>
        </a:p>
        <a:p>
          <a:pPr algn="l" rtl="0">
            <a:defRPr sz="1000"/>
          </a:pPr>
          <a:r>
            <a:rPr lang="en-CA" sz="1000" b="0" i="0" u="none" strike="noStrike" baseline="0">
              <a:solidFill>
                <a:srgbClr val="000000"/>
              </a:solidFill>
              <a:latin typeface="Arial"/>
              <a:cs typeface="Arial"/>
            </a:rPr>
            <a:t>(4) Then we hit ctrl-shift-enter.</a:t>
          </a:r>
        </a:p>
        <a:p>
          <a:pPr algn="l" rtl="0">
            <a:defRPr sz="1000"/>
          </a:pPr>
          <a:r>
            <a:rPr lang="en-CA" sz="1000" b="0" i="0" u="none" strike="noStrike" baseline="0">
              <a:solidFill>
                <a:srgbClr val="000000"/>
              </a:solidFill>
              <a:latin typeface="Arial"/>
              <a:cs typeface="Arial"/>
            </a:rPr>
            <a:t>(5) Then we filled down the 3 cells E47 to G47 in order to get the formulas into rows 48 to 59.  The absolute reference meant that the formulas always referred to the same correlation matrix, means and SD vectors.</a:t>
          </a:r>
        </a:p>
        <a:p>
          <a:pPr algn="l" rtl="0">
            <a:defRPr sz="1000"/>
          </a:pPr>
          <a:endParaRPr lang="en-CA" sz="1000" b="0" i="0" u="none" strike="noStrike" baseline="0">
            <a:solidFill>
              <a:srgbClr val="000000"/>
            </a:solidFill>
            <a:latin typeface="Arial"/>
            <a:cs typeface="Arial"/>
          </a:endParaRPr>
        </a:p>
        <a:p>
          <a:pPr algn="l" rtl="0">
            <a:defRPr sz="1000"/>
          </a:pPr>
          <a:r>
            <a:rPr lang="en-CA" sz="1000" b="0" i="0" u="none" strike="noStrike" baseline="0">
              <a:solidFill>
                <a:srgbClr val="000000"/>
              </a:solidFill>
              <a:latin typeface="Arial"/>
              <a:cs typeface="Arial"/>
            </a:rPr>
            <a:t>Another solution would be to name the ranges containing the correlation matrix, means and SD vectors.</a:t>
          </a:r>
        </a:p>
        <a:p>
          <a:pPr algn="l" rtl="0">
            <a:defRPr sz="1000"/>
          </a:pPr>
          <a:endParaRPr lang="en-CA" sz="1000" b="0" i="0" u="none" strike="noStrike" baseline="0">
            <a:solidFill>
              <a:srgbClr val="000000"/>
            </a:solidFill>
            <a:latin typeface="Arial"/>
            <a:cs typeface="Arial"/>
          </a:endParaRPr>
        </a:p>
        <a:p>
          <a:pPr algn="l" rtl="0">
            <a:defRPr sz="1000"/>
          </a:pPr>
          <a:endParaRPr lang="en-CA" sz="1000" b="0" i="0" u="none"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Analysis/ATPVBAE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BA Functions and Subs"/>
      <sheetName val="REG"/>
      <sheetName val="Loc Table"/>
      <sheetName val="ATPVBAEN"/>
    </sheetNames>
    <definedNames>
      <definedName name="RANDOM"/>
    </definedNames>
    <sheetDataSet>
      <sheetData sheetId="0" refreshError="1"/>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1"/>
  <sheetViews>
    <sheetView workbookViewId="0">
      <selection activeCell="A11" sqref="A11"/>
    </sheetView>
  </sheetViews>
  <sheetFormatPr baseColWidth="10" defaultColWidth="11.5" defaultRowHeight="12" x14ac:dyDescent="0.15"/>
  <sheetData>
    <row r="1" spans="1:7" x14ac:dyDescent="0.15">
      <c r="A1" s="2" t="s">
        <v>51</v>
      </c>
    </row>
    <row r="3" spans="1:7" x14ac:dyDescent="0.15">
      <c r="A3" t="s">
        <v>39</v>
      </c>
      <c r="E3" t="s">
        <v>40</v>
      </c>
    </row>
    <row r="4" spans="1:7" x14ac:dyDescent="0.15">
      <c r="A4" t="e">
        <f ca="1">[1]!RANDOM()</f>
        <v>#NAME?</v>
      </c>
      <c r="E4">
        <f ca="1">RAND()</f>
        <v>0.19663858596735806</v>
      </c>
    </row>
    <row r="6" spans="1:7" x14ac:dyDescent="0.15">
      <c r="G6" s="1" t="s">
        <v>42</v>
      </c>
    </row>
    <row r="8" spans="1:7" x14ac:dyDescent="0.15">
      <c r="A8" t="s">
        <v>52</v>
      </c>
    </row>
    <row r="9" spans="1:7" x14ac:dyDescent="0.15">
      <c r="A9">
        <f ca="1">normalrandom(0,2)</f>
        <v>1.2032744418648402</v>
      </c>
    </row>
    <row r="10" spans="1:7" x14ac:dyDescent="0.15">
      <c r="A10" t="s">
        <v>41</v>
      </c>
    </row>
    <row r="11" spans="1:7" x14ac:dyDescent="0.15">
      <c r="A11">
        <f ca="1">normalrandom(100,50)</f>
        <v>127.60013362768881</v>
      </c>
    </row>
    <row r="15" spans="1:7" ht="41" customHeight="1" x14ac:dyDescent="0.15"/>
    <row r="17" spans="1:8" x14ac:dyDescent="0.15">
      <c r="A17" t="s">
        <v>43</v>
      </c>
      <c r="F17" t="s">
        <v>44</v>
      </c>
    </row>
    <row r="18" spans="1:8" x14ac:dyDescent="0.15">
      <c r="A18">
        <v>100</v>
      </c>
      <c r="B18">
        <v>39</v>
      </c>
      <c r="C18">
        <v>6666</v>
      </c>
      <c r="F18">
        <v>109</v>
      </c>
      <c r="G18">
        <v>36</v>
      </c>
      <c r="H18">
        <v>1111</v>
      </c>
    </row>
    <row r="19" spans="1:8" x14ac:dyDescent="0.15">
      <c r="A19">
        <v>101</v>
      </c>
      <c r="B19">
        <v>38</v>
      </c>
      <c r="C19">
        <v>3333</v>
      </c>
      <c r="F19">
        <v>102</v>
      </c>
      <c r="G19">
        <v>37</v>
      </c>
      <c r="H19">
        <v>2222</v>
      </c>
    </row>
    <row r="20" spans="1:8" x14ac:dyDescent="0.15">
      <c r="A20">
        <v>102</v>
      </c>
      <c r="B20">
        <v>37</v>
      </c>
      <c r="C20">
        <v>2222</v>
      </c>
      <c r="F20">
        <v>101</v>
      </c>
      <c r="G20">
        <v>38</v>
      </c>
      <c r="H20">
        <v>3333</v>
      </c>
    </row>
    <row r="21" spans="1:8" x14ac:dyDescent="0.15">
      <c r="A21">
        <v>109</v>
      </c>
      <c r="B21">
        <v>36</v>
      </c>
      <c r="C21">
        <v>1111</v>
      </c>
      <c r="F21">
        <v>100</v>
      </c>
      <c r="G21">
        <v>39</v>
      </c>
      <c r="H21">
        <v>6666</v>
      </c>
    </row>
  </sheetData>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68"/>
  <sheetViews>
    <sheetView showGridLines="0" workbookViewId="0">
      <selection activeCell="A5" sqref="A5"/>
    </sheetView>
  </sheetViews>
  <sheetFormatPr baseColWidth="10" defaultColWidth="11.5" defaultRowHeight="12" x14ac:dyDescent="0.15"/>
  <sheetData>
    <row r="1" spans="1:1" x14ac:dyDescent="0.15">
      <c r="A1" t="s">
        <v>45</v>
      </c>
    </row>
    <row r="3" spans="1:1" x14ac:dyDescent="0.15">
      <c r="A3" t="s">
        <v>46</v>
      </c>
    </row>
    <row r="4" spans="1:1" x14ac:dyDescent="0.15">
      <c r="A4" t="s">
        <v>47</v>
      </c>
    </row>
    <row r="7" spans="1:1" x14ac:dyDescent="0.15">
      <c r="A7" t="s">
        <v>48</v>
      </c>
    </row>
    <row r="10" spans="1:1" x14ac:dyDescent="0.15">
      <c r="A10" t="s">
        <v>49</v>
      </c>
    </row>
    <row r="12" spans="1:1" x14ac:dyDescent="0.15">
      <c r="A12" t="s">
        <v>50</v>
      </c>
    </row>
    <row r="13" spans="1:1" x14ac:dyDescent="0.15">
      <c r="A13" t="s">
        <v>0</v>
      </c>
    </row>
    <row r="15" spans="1:1" x14ac:dyDescent="0.15">
      <c r="A15" t="s">
        <v>1</v>
      </c>
    </row>
    <row r="17" spans="1:1" x14ac:dyDescent="0.15">
      <c r="A17" t="s">
        <v>2</v>
      </c>
    </row>
    <row r="18" spans="1:1" x14ac:dyDescent="0.15">
      <c r="A18" t="s">
        <v>3</v>
      </c>
    </row>
    <row r="20" spans="1:1" x14ac:dyDescent="0.15">
      <c r="A20" t="s">
        <v>4</v>
      </c>
    </row>
    <row r="22" spans="1:1" x14ac:dyDescent="0.15">
      <c r="A22" t="s">
        <v>5</v>
      </c>
    </row>
    <row r="23" spans="1:1" x14ac:dyDescent="0.15">
      <c r="A23" t="s">
        <v>6</v>
      </c>
    </row>
    <row r="24" spans="1:1" x14ac:dyDescent="0.15">
      <c r="A24" t="s">
        <v>7</v>
      </c>
    </row>
    <row r="25" spans="1:1" x14ac:dyDescent="0.15">
      <c r="A25" t="s">
        <v>8</v>
      </c>
    </row>
    <row r="26" spans="1:1" x14ac:dyDescent="0.15">
      <c r="A26" t="s">
        <v>9</v>
      </c>
    </row>
    <row r="27" spans="1:1" x14ac:dyDescent="0.15">
      <c r="A27" t="s">
        <v>10</v>
      </c>
    </row>
    <row r="28" spans="1:1" x14ac:dyDescent="0.15">
      <c r="A28" t="s">
        <v>11</v>
      </c>
    </row>
    <row r="30" spans="1:1" x14ac:dyDescent="0.15">
      <c r="A30" t="s">
        <v>12</v>
      </c>
    </row>
    <row r="31" spans="1:1" x14ac:dyDescent="0.15">
      <c r="A31" t="s">
        <v>13</v>
      </c>
    </row>
    <row r="32" spans="1:1" x14ac:dyDescent="0.15">
      <c r="A32" t="s">
        <v>14</v>
      </c>
    </row>
    <row r="33" spans="1:1" x14ac:dyDescent="0.15">
      <c r="A33" t="s">
        <v>15</v>
      </c>
    </row>
    <row r="34" spans="1:1" x14ac:dyDescent="0.15">
      <c r="A34" t="s">
        <v>16</v>
      </c>
    </row>
    <row r="35" spans="1:1" x14ac:dyDescent="0.15">
      <c r="A35" t="s">
        <v>17</v>
      </c>
    </row>
    <row r="36" spans="1:1" x14ac:dyDescent="0.15">
      <c r="A36" t="s">
        <v>18</v>
      </c>
    </row>
    <row r="37" spans="1:1" x14ac:dyDescent="0.15">
      <c r="A37" t="s">
        <v>19</v>
      </c>
    </row>
    <row r="39" spans="1:1" x14ac:dyDescent="0.15">
      <c r="A39" t="s">
        <v>20</v>
      </c>
    </row>
    <row r="41" spans="1:1" x14ac:dyDescent="0.15">
      <c r="A41" t="s">
        <v>21</v>
      </c>
    </row>
    <row r="43" spans="1:1" x14ac:dyDescent="0.15">
      <c r="A43" t="s">
        <v>22</v>
      </c>
    </row>
    <row r="45" spans="1:1" x14ac:dyDescent="0.15">
      <c r="A45" t="s">
        <v>23</v>
      </c>
    </row>
    <row r="47" spans="1:1" x14ac:dyDescent="0.15">
      <c r="A47" t="s">
        <v>24</v>
      </c>
    </row>
    <row r="49" spans="1:1" x14ac:dyDescent="0.15">
      <c r="A49" t="s">
        <v>25</v>
      </c>
    </row>
    <row r="50" spans="1:1" x14ac:dyDescent="0.15">
      <c r="A50" t="s">
        <v>26</v>
      </c>
    </row>
    <row r="52" spans="1:1" x14ac:dyDescent="0.15">
      <c r="A52" t="s">
        <v>27</v>
      </c>
    </row>
    <row r="54" spans="1:1" x14ac:dyDescent="0.15">
      <c r="A54" t="s">
        <v>28</v>
      </c>
    </row>
    <row r="55" spans="1:1" x14ac:dyDescent="0.15">
      <c r="A55" t="s">
        <v>29</v>
      </c>
    </row>
    <row r="57" spans="1:1" x14ac:dyDescent="0.15">
      <c r="A57" t="s">
        <v>30</v>
      </c>
    </row>
    <row r="59" spans="1:1" x14ac:dyDescent="0.15">
      <c r="A59" t="s">
        <v>31</v>
      </c>
    </row>
    <row r="60" spans="1:1" x14ac:dyDescent="0.15">
      <c r="A60" t="s">
        <v>32</v>
      </c>
    </row>
    <row r="61" spans="1:1" x14ac:dyDescent="0.15">
      <c r="A61" t="s">
        <v>33</v>
      </c>
    </row>
    <row r="63" spans="1:1" x14ac:dyDescent="0.15">
      <c r="A63" t="s">
        <v>47</v>
      </c>
    </row>
    <row r="64" spans="1:1" x14ac:dyDescent="0.15">
      <c r="A64" t="s">
        <v>34</v>
      </c>
    </row>
    <row r="65" spans="1:1" x14ac:dyDescent="0.15">
      <c r="A65" t="s">
        <v>35</v>
      </c>
    </row>
    <row r="66" spans="1:1" x14ac:dyDescent="0.15">
      <c r="A66" t="s">
        <v>36</v>
      </c>
    </row>
    <row r="67" spans="1:1" x14ac:dyDescent="0.15">
      <c r="A67" t="s">
        <v>37</v>
      </c>
    </row>
    <row r="68" spans="1:1" x14ac:dyDescent="0.15">
      <c r="A68" t="s">
        <v>38</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L106"/>
  <sheetViews>
    <sheetView showGridLines="0" workbookViewId="0">
      <selection activeCell="B2" sqref="B2"/>
    </sheetView>
  </sheetViews>
  <sheetFormatPr baseColWidth="10" defaultColWidth="8.83203125" defaultRowHeight="12" x14ac:dyDescent="0.15"/>
  <cols>
    <col min="1" max="1" width="22.6640625" customWidth="1"/>
  </cols>
  <sheetData>
    <row r="1" spans="1:38" x14ac:dyDescent="0.15">
      <c r="A1" s="44" t="s">
        <v>67</v>
      </c>
      <c r="B1" s="45" t="s">
        <v>69</v>
      </c>
      <c r="C1" s="44"/>
      <c r="D1">
        <v>52</v>
      </c>
      <c r="E1">
        <v>52</v>
      </c>
      <c r="AK1">
        <v>-5</v>
      </c>
      <c r="AL1">
        <v>0</v>
      </c>
    </row>
    <row r="2" spans="1:38" x14ac:dyDescent="0.15">
      <c r="A2" s="44" t="s">
        <v>68</v>
      </c>
      <c r="B2" s="44">
        <v>1000000</v>
      </c>
      <c r="C2" s="44"/>
      <c r="AK2">
        <v>-5</v>
      </c>
      <c r="AL2">
        <v>1835</v>
      </c>
    </row>
    <row r="3" spans="1:38" x14ac:dyDescent="0.15">
      <c r="A3" s="44" t="s">
        <v>70</v>
      </c>
      <c r="B3" s="44">
        <v>10000</v>
      </c>
      <c r="C3" s="44"/>
      <c r="AK3">
        <v>-4</v>
      </c>
      <c r="AL3">
        <v>1835</v>
      </c>
    </row>
    <row r="4" spans="1:38" x14ac:dyDescent="0.15">
      <c r="A4" s="44" t="s">
        <v>71</v>
      </c>
      <c r="B4" s="44">
        <v>0</v>
      </c>
      <c r="C4" s="44"/>
      <c r="AK4">
        <v>-4</v>
      </c>
      <c r="AL4">
        <v>1455</v>
      </c>
    </row>
    <row r="5" spans="1:38" x14ac:dyDescent="0.15">
      <c r="A5" s="44" t="s">
        <v>72</v>
      </c>
      <c r="B5" s="44">
        <v>10000</v>
      </c>
      <c r="C5" s="44"/>
      <c r="AK5">
        <v>-3</v>
      </c>
      <c r="AL5">
        <v>1455</v>
      </c>
    </row>
    <row r="6" spans="1:38" x14ac:dyDescent="0.15">
      <c r="A6" s="44" t="s">
        <v>53</v>
      </c>
      <c r="B6" s="46">
        <v>-4.6624623995224677E-2</v>
      </c>
      <c r="C6" s="44"/>
      <c r="AK6">
        <v>-3</v>
      </c>
      <c r="AL6">
        <v>1181</v>
      </c>
    </row>
    <row r="7" spans="1:38" x14ac:dyDescent="0.15">
      <c r="A7" s="44" t="s">
        <v>54</v>
      </c>
      <c r="B7" s="46">
        <v>4.9748099267273611</v>
      </c>
      <c r="C7" s="44"/>
      <c r="AK7">
        <v>-2</v>
      </c>
      <c r="AL7">
        <v>1181</v>
      </c>
    </row>
    <row r="8" spans="1:38" x14ac:dyDescent="0.15">
      <c r="A8" s="44" t="s">
        <v>64</v>
      </c>
      <c r="B8" s="46">
        <v>-4.9996550238893178</v>
      </c>
      <c r="C8" s="44"/>
      <c r="AK8">
        <v>-2</v>
      </c>
      <c r="AL8">
        <v>1003</v>
      </c>
    </row>
    <row r="9" spans="1:38" x14ac:dyDescent="0.15">
      <c r="A9" s="44" t="s">
        <v>73</v>
      </c>
      <c r="B9" s="46">
        <v>-3.5595194612580037</v>
      </c>
      <c r="C9" s="44"/>
      <c r="AK9">
        <v>-1</v>
      </c>
      <c r="AL9">
        <v>1003</v>
      </c>
    </row>
    <row r="10" spans="1:38" x14ac:dyDescent="0.15">
      <c r="A10" s="44" t="s">
        <v>74</v>
      </c>
      <c r="B10" s="46">
        <v>-1.5404391492807088</v>
      </c>
      <c r="C10" s="44"/>
      <c r="AK10">
        <v>-1</v>
      </c>
      <c r="AL10">
        <v>865</v>
      </c>
    </row>
    <row r="11" spans="1:38" x14ac:dyDescent="0.15">
      <c r="A11" s="44" t="s">
        <v>75</v>
      </c>
      <c r="B11" s="46">
        <v>1.7550152853408387</v>
      </c>
      <c r="C11" s="44"/>
      <c r="AK11">
        <v>0</v>
      </c>
      <c r="AL11">
        <v>865</v>
      </c>
    </row>
    <row r="12" spans="1:38" x14ac:dyDescent="0.15">
      <c r="A12" s="44" t="s">
        <v>63</v>
      </c>
      <c r="B12" s="46">
        <v>46.175141720691464</v>
      </c>
      <c r="C12" s="44"/>
      <c r="AK12">
        <v>0</v>
      </c>
      <c r="AL12">
        <v>706</v>
      </c>
    </row>
    <row r="13" spans="1:38" x14ac:dyDescent="0.15">
      <c r="AK13">
        <v>1</v>
      </c>
      <c r="AL13">
        <v>706</v>
      </c>
    </row>
    <row r="14" spans="1:38" x14ac:dyDescent="0.15">
      <c r="AK14">
        <v>1</v>
      </c>
      <c r="AL14">
        <v>587</v>
      </c>
    </row>
    <row r="15" spans="1:38" x14ac:dyDescent="0.15">
      <c r="C15" t="s">
        <v>76</v>
      </c>
      <c r="AK15">
        <v>2</v>
      </c>
      <c r="AL15">
        <v>587</v>
      </c>
    </row>
    <row r="16" spans="1:38" x14ac:dyDescent="0.15">
      <c r="C16" t="s">
        <v>77</v>
      </c>
      <c r="AK16">
        <v>2</v>
      </c>
      <c r="AL16">
        <v>437</v>
      </c>
    </row>
    <row r="17" spans="37:38" x14ac:dyDescent="0.15">
      <c r="AK17">
        <v>3</v>
      </c>
      <c r="AL17">
        <v>437</v>
      </c>
    </row>
    <row r="18" spans="37:38" x14ac:dyDescent="0.15">
      <c r="AK18">
        <v>3</v>
      </c>
      <c r="AL18">
        <v>321</v>
      </c>
    </row>
    <row r="19" spans="37:38" x14ac:dyDescent="0.15">
      <c r="AK19">
        <v>4</v>
      </c>
      <c r="AL19">
        <v>321</v>
      </c>
    </row>
    <row r="20" spans="37:38" x14ac:dyDescent="0.15">
      <c r="AK20">
        <v>4</v>
      </c>
      <c r="AL20">
        <v>312</v>
      </c>
    </row>
    <row r="21" spans="37:38" x14ac:dyDescent="0.15">
      <c r="AK21">
        <v>5</v>
      </c>
      <c r="AL21">
        <v>312</v>
      </c>
    </row>
    <row r="22" spans="37:38" x14ac:dyDescent="0.15">
      <c r="AK22">
        <v>5</v>
      </c>
      <c r="AL22">
        <v>242</v>
      </c>
    </row>
    <row r="23" spans="37:38" x14ac:dyDescent="0.15">
      <c r="AK23">
        <v>6</v>
      </c>
      <c r="AL23">
        <v>242</v>
      </c>
    </row>
    <row r="24" spans="37:38" x14ac:dyDescent="0.15">
      <c r="AK24">
        <v>6</v>
      </c>
      <c r="AL24">
        <v>207</v>
      </c>
    </row>
    <row r="25" spans="37:38" x14ac:dyDescent="0.15">
      <c r="AK25">
        <v>7</v>
      </c>
      <c r="AL25">
        <v>207</v>
      </c>
    </row>
    <row r="26" spans="37:38" x14ac:dyDescent="0.15">
      <c r="AK26">
        <v>7</v>
      </c>
      <c r="AL26">
        <v>166</v>
      </c>
    </row>
    <row r="27" spans="37:38" x14ac:dyDescent="0.15">
      <c r="AK27">
        <v>8</v>
      </c>
      <c r="AL27">
        <v>166</v>
      </c>
    </row>
    <row r="28" spans="37:38" x14ac:dyDescent="0.15">
      <c r="AK28">
        <v>8</v>
      </c>
      <c r="AL28">
        <v>119</v>
      </c>
    </row>
    <row r="29" spans="37:38" x14ac:dyDescent="0.15">
      <c r="AK29">
        <v>9</v>
      </c>
      <c r="AL29">
        <v>119</v>
      </c>
    </row>
    <row r="30" spans="37:38" x14ac:dyDescent="0.15">
      <c r="AK30">
        <v>9</v>
      </c>
      <c r="AL30">
        <v>80</v>
      </c>
    </row>
    <row r="31" spans="37:38" x14ac:dyDescent="0.15">
      <c r="AK31">
        <v>10</v>
      </c>
      <c r="AL31">
        <v>80</v>
      </c>
    </row>
    <row r="32" spans="37:38" x14ac:dyDescent="0.15">
      <c r="AK32">
        <v>10</v>
      </c>
      <c r="AL32">
        <v>91</v>
      </c>
    </row>
    <row r="33" spans="37:38" x14ac:dyDescent="0.15">
      <c r="AK33">
        <v>11</v>
      </c>
      <c r="AL33">
        <v>91</v>
      </c>
    </row>
    <row r="34" spans="37:38" x14ac:dyDescent="0.15">
      <c r="AK34">
        <v>11</v>
      </c>
      <c r="AL34">
        <v>63</v>
      </c>
    </row>
    <row r="35" spans="37:38" x14ac:dyDescent="0.15">
      <c r="AK35">
        <v>12</v>
      </c>
      <c r="AL35">
        <v>63</v>
      </c>
    </row>
    <row r="36" spans="37:38" x14ac:dyDescent="0.15">
      <c r="AK36">
        <v>12</v>
      </c>
      <c r="AL36">
        <v>61</v>
      </c>
    </row>
    <row r="37" spans="37:38" x14ac:dyDescent="0.15">
      <c r="AK37">
        <v>13</v>
      </c>
      <c r="AL37">
        <v>61</v>
      </c>
    </row>
    <row r="38" spans="37:38" x14ac:dyDescent="0.15">
      <c r="AK38">
        <v>13</v>
      </c>
      <c r="AL38">
        <v>52</v>
      </c>
    </row>
    <row r="39" spans="37:38" x14ac:dyDescent="0.15">
      <c r="AK39">
        <v>14</v>
      </c>
      <c r="AL39">
        <v>52</v>
      </c>
    </row>
    <row r="40" spans="37:38" x14ac:dyDescent="0.15">
      <c r="AK40">
        <v>14</v>
      </c>
      <c r="AL40">
        <v>38</v>
      </c>
    </row>
    <row r="41" spans="37:38" x14ac:dyDescent="0.15">
      <c r="AK41">
        <v>15</v>
      </c>
      <c r="AL41">
        <v>38</v>
      </c>
    </row>
    <row r="42" spans="37:38" x14ac:dyDescent="0.15">
      <c r="AK42">
        <v>15</v>
      </c>
      <c r="AL42">
        <v>24</v>
      </c>
    </row>
    <row r="43" spans="37:38" x14ac:dyDescent="0.15">
      <c r="AK43">
        <v>16</v>
      </c>
      <c r="AL43">
        <v>24</v>
      </c>
    </row>
    <row r="44" spans="37:38" x14ac:dyDescent="0.15">
      <c r="AK44">
        <v>16</v>
      </c>
      <c r="AL44">
        <v>28</v>
      </c>
    </row>
    <row r="45" spans="37:38" x14ac:dyDescent="0.15">
      <c r="AK45">
        <v>17</v>
      </c>
      <c r="AL45">
        <v>28</v>
      </c>
    </row>
    <row r="46" spans="37:38" x14ac:dyDescent="0.15">
      <c r="AK46">
        <v>17</v>
      </c>
      <c r="AL46">
        <v>24</v>
      </c>
    </row>
    <row r="47" spans="37:38" x14ac:dyDescent="0.15">
      <c r="AK47">
        <v>18</v>
      </c>
      <c r="AL47">
        <v>24</v>
      </c>
    </row>
    <row r="48" spans="37:38" x14ac:dyDescent="0.15">
      <c r="AK48">
        <v>18</v>
      </c>
      <c r="AL48">
        <v>19</v>
      </c>
    </row>
    <row r="49" spans="37:38" x14ac:dyDescent="0.15">
      <c r="AK49">
        <v>19</v>
      </c>
      <c r="AL49">
        <v>19</v>
      </c>
    </row>
    <row r="50" spans="37:38" x14ac:dyDescent="0.15">
      <c r="AK50">
        <v>19</v>
      </c>
      <c r="AL50">
        <v>14</v>
      </c>
    </row>
    <row r="51" spans="37:38" x14ac:dyDescent="0.15">
      <c r="AK51">
        <v>20</v>
      </c>
      <c r="AL51">
        <v>14</v>
      </c>
    </row>
    <row r="52" spans="37:38" x14ac:dyDescent="0.15">
      <c r="AK52">
        <v>20</v>
      </c>
      <c r="AL52">
        <v>11</v>
      </c>
    </row>
    <row r="53" spans="37:38" x14ac:dyDescent="0.15">
      <c r="AK53">
        <v>21</v>
      </c>
      <c r="AL53">
        <v>11</v>
      </c>
    </row>
    <row r="54" spans="37:38" x14ac:dyDescent="0.15">
      <c r="AK54">
        <v>21</v>
      </c>
      <c r="AL54">
        <v>9</v>
      </c>
    </row>
    <row r="55" spans="37:38" x14ac:dyDescent="0.15">
      <c r="AK55">
        <v>22</v>
      </c>
      <c r="AL55">
        <v>9</v>
      </c>
    </row>
    <row r="56" spans="37:38" x14ac:dyDescent="0.15">
      <c r="AK56">
        <v>22</v>
      </c>
      <c r="AL56">
        <v>10</v>
      </c>
    </row>
    <row r="57" spans="37:38" x14ac:dyDescent="0.15">
      <c r="AK57">
        <v>23</v>
      </c>
      <c r="AL57">
        <v>10</v>
      </c>
    </row>
    <row r="58" spans="37:38" x14ac:dyDescent="0.15">
      <c r="AK58">
        <v>23</v>
      </c>
      <c r="AL58">
        <v>3</v>
      </c>
    </row>
    <row r="59" spans="37:38" x14ac:dyDescent="0.15">
      <c r="AK59">
        <v>24</v>
      </c>
      <c r="AL59">
        <v>3</v>
      </c>
    </row>
    <row r="60" spans="37:38" x14ac:dyDescent="0.15">
      <c r="AK60">
        <v>24</v>
      </c>
      <c r="AL60">
        <v>5</v>
      </c>
    </row>
    <row r="61" spans="37:38" x14ac:dyDescent="0.15">
      <c r="AK61">
        <v>25</v>
      </c>
      <c r="AL61">
        <v>5</v>
      </c>
    </row>
    <row r="62" spans="37:38" x14ac:dyDescent="0.15">
      <c r="AK62">
        <v>25</v>
      </c>
      <c r="AL62">
        <v>5</v>
      </c>
    </row>
    <row r="63" spans="37:38" x14ac:dyDescent="0.15">
      <c r="AK63">
        <v>26</v>
      </c>
      <c r="AL63">
        <v>5</v>
      </c>
    </row>
    <row r="64" spans="37:38" x14ac:dyDescent="0.15">
      <c r="AK64">
        <v>26</v>
      </c>
      <c r="AL64">
        <v>5</v>
      </c>
    </row>
    <row r="65" spans="37:38" x14ac:dyDescent="0.15">
      <c r="AK65">
        <v>27</v>
      </c>
      <c r="AL65">
        <v>5</v>
      </c>
    </row>
    <row r="66" spans="37:38" x14ac:dyDescent="0.15">
      <c r="AK66">
        <v>27</v>
      </c>
      <c r="AL66">
        <v>4</v>
      </c>
    </row>
    <row r="67" spans="37:38" x14ac:dyDescent="0.15">
      <c r="AK67">
        <v>28</v>
      </c>
      <c r="AL67">
        <v>4</v>
      </c>
    </row>
    <row r="68" spans="37:38" x14ac:dyDescent="0.15">
      <c r="AK68">
        <v>28</v>
      </c>
      <c r="AL68">
        <v>2</v>
      </c>
    </row>
    <row r="69" spans="37:38" x14ac:dyDescent="0.15">
      <c r="AK69">
        <v>29</v>
      </c>
      <c r="AL69">
        <v>2</v>
      </c>
    </row>
    <row r="70" spans="37:38" x14ac:dyDescent="0.15">
      <c r="AK70">
        <v>29</v>
      </c>
      <c r="AL70">
        <v>2</v>
      </c>
    </row>
    <row r="71" spans="37:38" x14ac:dyDescent="0.15">
      <c r="AK71">
        <v>30</v>
      </c>
      <c r="AL71">
        <v>2</v>
      </c>
    </row>
    <row r="72" spans="37:38" x14ac:dyDescent="0.15">
      <c r="AK72">
        <v>30</v>
      </c>
      <c r="AL72">
        <v>2</v>
      </c>
    </row>
    <row r="73" spans="37:38" x14ac:dyDescent="0.15">
      <c r="AK73">
        <v>31</v>
      </c>
      <c r="AL73">
        <v>2</v>
      </c>
    </row>
    <row r="74" spans="37:38" x14ac:dyDescent="0.15">
      <c r="AK74">
        <v>31</v>
      </c>
      <c r="AL74">
        <v>3</v>
      </c>
    </row>
    <row r="75" spans="37:38" x14ac:dyDescent="0.15">
      <c r="AK75">
        <v>32</v>
      </c>
      <c r="AL75">
        <v>3</v>
      </c>
    </row>
    <row r="76" spans="37:38" x14ac:dyDescent="0.15">
      <c r="AK76">
        <v>32</v>
      </c>
      <c r="AL76">
        <v>5</v>
      </c>
    </row>
    <row r="77" spans="37:38" x14ac:dyDescent="0.15">
      <c r="AK77">
        <v>33</v>
      </c>
      <c r="AL77">
        <v>5</v>
      </c>
    </row>
    <row r="78" spans="37:38" x14ac:dyDescent="0.15">
      <c r="AK78">
        <v>33</v>
      </c>
      <c r="AL78">
        <v>0</v>
      </c>
    </row>
    <row r="79" spans="37:38" x14ac:dyDescent="0.15">
      <c r="AK79">
        <v>34</v>
      </c>
      <c r="AL79">
        <v>0</v>
      </c>
    </row>
    <row r="80" spans="37:38" x14ac:dyDescent="0.15">
      <c r="AK80">
        <v>34</v>
      </c>
      <c r="AL80">
        <v>0</v>
      </c>
    </row>
    <row r="81" spans="37:38" x14ac:dyDescent="0.15">
      <c r="AK81">
        <v>35</v>
      </c>
      <c r="AL81">
        <v>0</v>
      </c>
    </row>
    <row r="82" spans="37:38" x14ac:dyDescent="0.15">
      <c r="AK82">
        <v>35</v>
      </c>
      <c r="AL82">
        <v>2</v>
      </c>
    </row>
    <row r="83" spans="37:38" x14ac:dyDescent="0.15">
      <c r="AK83">
        <v>36</v>
      </c>
      <c r="AL83">
        <v>2</v>
      </c>
    </row>
    <row r="84" spans="37:38" x14ac:dyDescent="0.15">
      <c r="AK84">
        <v>36</v>
      </c>
      <c r="AL84">
        <v>0</v>
      </c>
    </row>
    <row r="85" spans="37:38" x14ac:dyDescent="0.15">
      <c r="AK85">
        <v>37</v>
      </c>
      <c r="AL85">
        <v>0</v>
      </c>
    </row>
    <row r="86" spans="37:38" x14ac:dyDescent="0.15">
      <c r="AK86">
        <v>37</v>
      </c>
      <c r="AL86">
        <v>0</v>
      </c>
    </row>
    <row r="87" spans="37:38" x14ac:dyDescent="0.15">
      <c r="AK87">
        <v>38</v>
      </c>
      <c r="AL87">
        <v>0</v>
      </c>
    </row>
    <row r="88" spans="37:38" x14ac:dyDescent="0.15">
      <c r="AK88">
        <v>38</v>
      </c>
      <c r="AL88">
        <v>0</v>
      </c>
    </row>
    <row r="89" spans="37:38" x14ac:dyDescent="0.15">
      <c r="AK89">
        <v>39</v>
      </c>
      <c r="AL89">
        <v>0</v>
      </c>
    </row>
    <row r="90" spans="37:38" x14ac:dyDescent="0.15">
      <c r="AK90">
        <v>39</v>
      </c>
      <c r="AL90">
        <v>0</v>
      </c>
    </row>
    <row r="91" spans="37:38" x14ac:dyDescent="0.15">
      <c r="AK91">
        <v>40</v>
      </c>
      <c r="AL91">
        <v>0</v>
      </c>
    </row>
    <row r="92" spans="37:38" x14ac:dyDescent="0.15">
      <c r="AK92">
        <v>40</v>
      </c>
      <c r="AL92">
        <v>0</v>
      </c>
    </row>
    <row r="93" spans="37:38" x14ac:dyDescent="0.15">
      <c r="AK93">
        <v>41</v>
      </c>
      <c r="AL93">
        <v>0</v>
      </c>
    </row>
    <row r="94" spans="37:38" x14ac:dyDescent="0.15">
      <c r="AK94">
        <v>41</v>
      </c>
      <c r="AL94">
        <v>0</v>
      </c>
    </row>
    <row r="95" spans="37:38" x14ac:dyDescent="0.15">
      <c r="AK95">
        <v>42</v>
      </c>
      <c r="AL95">
        <v>0</v>
      </c>
    </row>
    <row r="96" spans="37:38" x14ac:dyDescent="0.15">
      <c r="AK96">
        <v>42</v>
      </c>
      <c r="AL96">
        <v>0</v>
      </c>
    </row>
    <row r="97" spans="37:38" x14ac:dyDescent="0.15">
      <c r="AK97">
        <v>43</v>
      </c>
      <c r="AL97">
        <v>0</v>
      </c>
    </row>
    <row r="98" spans="37:38" x14ac:dyDescent="0.15">
      <c r="AK98">
        <v>43</v>
      </c>
      <c r="AL98">
        <v>0</v>
      </c>
    </row>
    <row r="99" spans="37:38" x14ac:dyDescent="0.15">
      <c r="AK99">
        <v>44</v>
      </c>
      <c r="AL99">
        <v>0</v>
      </c>
    </row>
    <row r="100" spans="37:38" x14ac:dyDescent="0.15">
      <c r="AK100">
        <v>44</v>
      </c>
      <c r="AL100">
        <v>1</v>
      </c>
    </row>
    <row r="101" spans="37:38" x14ac:dyDescent="0.15">
      <c r="AK101">
        <v>45</v>
      </c>
      <c r="AL101">
        <v>1</v>
      </c>
    </row>
    <row r="102" spans="37:38" x14ac:dyDescent="0.15">
      <c r="AK102">
        <v>45</v>
      </c>
      <c r="AL102">
        <v>0</v>
      </c>
    </row>
    <row r="103" spans="37:38" x14ac:dyDescent="0.15">
      <c r="AK103">
        <v>46</v>
      </c>
      <c r="AL103">
        <v>0</v>
      </c>
    </row>
    <row r="104" spans="37:38" x14ac:dyDescent="0.15">
      <c r="AK104">
        <v>46</v>
      </c>
      <c r="AL104">
        <v>1</v>
      </c>
    </row>
    <row r="105" spans="37:38" x14ac:dyDescent="0.15">
      <c r="AK105">
        <v>47</v>
      </c>
      <c r="AL105">
        <v>1</v>
      </c>
    </row>
    <row r="106" spans="37:38" x14ac:dyDescent="0.15">
      <c r="AK106">
        <v>47</v>
      </c>
      <c r="AL106">
        <v>0</v>
      </c>
    </row>
  </sheetData>
  <phoneticPr fontId="14"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N103"/>
  <sheetViews>
    <sheetView showGridLines="0" workbookViewId="0">
      <selection activeCell="B2" sqref="B2"/>
    </sheetView>
  </sheetViews>
  <sheetFormatPr baseColWidth="10" defaultColWidth="10.33203125" defaultRowHeight="16" x14ac:dyDescent="0.2"/>
  <cols>
    <col min="1" max="1" width="9.1640625" style="14" customWidth="1"/>
    <col min="2" max="2" width="11.5" style="4" customWidth="1"/>
    <col min="3" max="3" width="8.5" style="5" customWidth="1"/>
    <col min="4" max="4" width="7.83203125" style="5" customWidth="1"/>
    <col min="5" max="5" width="7.5" style="6" customWidth="1"/>
    <col min="6" max="6" width="8.83203125" style="7" customWidth="1"/>
    <col min="7" max="7" width="10.33203125" style="6" customWidth="1"/>
    <col min="8" max="8" width="6.6640625" style="6" customWidth="1"/>
    <col min="9" max="11" width="10.33203125" style="6" customWidth="1"/>
    <col min="12" max="12" width="12.33203125" style="6" customWidth="1"/>
    <col min="13" max="17" width="10.33203125" style="6" customWidth="1"/>
    <col min="18" max="19" width="10.33203125" style="5" customWidth="1"/>
    <col min="20" max="20" width="16.33203125" style="5" customWidth="1"/>
    <col min="21" max="22" width="12.83203125" style="5" customWidth="1"/>
    <col min="23" max="24" width="10.33203125" style="5" customWidth="1"/>
    <col min="25" max="26" width="10.33203125" style="8" customWidth="1"/>
    <col min="27" max="33" width="10.33203125" style="5" customWidth="1"/>
    <col min="34" max="43" width="10.33203125" style="6" customWidth="1"/>
    <col min="44" max="50" width="10.33203125" style="5" customWidth="1"/>
    <col min="51" max="16384" width="10.33203125" style="6"/>
  </cols>
  <sheetData>
    <row r="1" spans="1:66" ht="31" thickBot="1" x14ac:dyDescent="0.35">
      <c r="A1" s="3" t="s">
        <v>55</v>
      </c>
      <c r="I1" s="5"/>
      <c r="J1" s="5"/>
      <c r="K1" s="5"/>
      <c r="L1" s="5"/>
      <c r="M1" s="5"/>
      <c r="N1" s="5"/>
      <c r="O1" s="5"/>
      <c r="Q1" s="5"/>
      <c r="AH1" s="5"/>
      <c r="AI1" s="5"/>
      <c r="AJ1" s="5"/>
      <c r="AK1" s="5">
        <v>0</v>
      </c>
      <c r="AL1" s="5" t="s">
        <v>66</v>
      </c>
      <c r="AM1" s="5"/>
      <c r="AN1" s="5"/>
      <c r="AO1" s="5"/>
      <c r="AP1" s="5"/>
      <c r="AQ1" s="5"/>
      <c r="AY1" s="5"/>
      <c r="AZ1" s="5"/>
      <c r="BA1" s="5"/>
      <c r="BB1" s="5"/>
      <c r="BC1" s="5"/>
      <c r="BD1" s="5"/>
      <c r="BE1" s="5"/>
      <c r="BF1" s="5"/>
      <c r="BG1" s="5"/>
      <c r="BH1" s="5"/>
      <c r="BI1" s="5"/>
      <c r="BJ1" s="5"/>
      <c r="BK1" s="5"/>
      <c r="BL1" s="5"/>
      <c r="BM1" s="5"/>
      <c r="BN1" s="5"/>
    </row>
    <row r="2" spans="1:66" s="12" customFormat="1" ht="42" customHeight="1" thickBot="1" x14ac:dyDescent="0.25">
      <c r="A2" s="9" t="s">
        <v>56</v>
      </c>
      <c r="B2" s="10" t="s">
        <v>66</v>
      </c>
      <c r="C2" s="5"/>
      <c r="D2" s="5"/>
      <c r="E2" s="11"/>
      <c r="F2" s="98" t="s">
        <v>57</v>
      </c>
      <c r="G2" s="99"/>
      <c r="I2" s="13"/>
      <c r="J2" s="13"/>
      <c r="K2" s="13"/>
      <c r="L2" s="13"/>
      <c r="M2" s="13"/>
      <c r="N2" s="13"/>
      <c r="O2" s="13"/>
      <c r="Q2" s="13"/>
      <c r="R2" s="5"/>
      <c r="S2" s="5"/>
      <c r="T2" s="5"/>
      <c r="U2" s="5"/>
      <c r="V2" s="5"/>
      <c r="W2" s="13"/>
      <c r="X2" s="13"/>
      <c r="Y2" s="8"/>
      <c r="Z2" s="8"/>
      <c r="AA2" s="13"/>
      <c r="AB2" s="13"/>
      <c r="AC2" s="13"/>
      <c r="AD2" s="13"/>
      <c r="AE2" s="13"/>
      <c r="AF2" s="13"/>
      <c r="AG2" s="13"/>
      <c r="AH2" s="13">
        <v>0</v>
      </c>
      <c r="AI2" s="13"/>
      <c r="AJ2" s="13"/>
      <c r="AK2" s="13">
        <v>-9.5</v>
      </c>
      <c r="AL2" s="13">
        <v>0</v>
      </c>
      <c r="AM2" s="13"/>
      <c r="AN2" s="13"/>
      <c r="AO2" s="13"/>
      <c r="AP2" s="13"/>
      <c r="AQ2" s="13"/>
      <c r="AR2" s="5"/>
      <c r="AS2" s="5"/>
      <c r="AT2" s="5"/>
      <c r="AU2" s="5"/>
      <c r="AV2" s="5"/>
      <c r="AW2" s="5"/>
      <c r="AX2" s="5"/>
      <c r="AY2" s="13"/>
      <c r="AZ2" s="13"/>
      <c r="BA2" s="13"/>
      <c r="BB2" s="13"/>
      <c r="BC2" s="13"/>
      <c r="BD2" s="13"/>
      <c r="BE2" s="13"/>
      <c r="BF2" s="13"/>
      <c r="BG2" s="13"/>
      <c r="BH2" s="13"/>
      <c r="BI2" s="13"/>
      <c r="BJ2" s="13"/>
      <c r="BK2" s="13"/>
      <c r="BL2" s="13"/>
      <c r="BM2" s="13"/>
      <c r="BN2" s="13"/>
    </row>
    <row r="3" spans="1:66" ht="17" thickBot="1" x14ac:dyDescent="0.25">
      <c r="A3" s="14">
        <v>1</v>
      </c>
      <c r="B3" s="15">
        <v>-0.62880590595454122</v>
      </c>
      <c r="E3" s="16"/>
      <c r="F3" s="17">
        <v>1000</v>
      </c>
      <c r="G3" s="18" t="s">
        <v>58</v>
      </c>
      <c r="AH3" s="5">
        <v>0.12903225421905518</v>
      </c>
      <c r="AI3" s="5">
        <v>0</v>
      </c>
      <c r="AJ3" s="5"/>
      <c r="AK3" s="5">
        <v>-9.5</v>
      </c>
      <c r="AL3" s="5">
        <v>1</v>
      </c>
      <c r="AM3" s="5"/>
      <c r="AN3" s="5"/>
      <c r="AO3" s="5"/>
      <c r="AP3" s="5"/>
      <c r="AQ3" s="5"/>
      <c r="AY3" s="5"/>
      <c r="AZ3" s="5"/>
      <c r="BA3" s="5"/>
      <c r="BB3" s="5"/>
      <c r="BC3" s="5"/>
      <c r="BD3" s="5"/>
      <c r="BE3" s="5"/>
      <c r="BF3" s="5"/>
      <c r="BG3" s="5"/>
      <c r="BH3" s="5"/>
      <c r="BI3" s="5"/>
      <c r="BJ3" s="5"/>
      <c r="BK3" s="5"/>
      <c r="BL3" s="5"/>
      <c r="BM3" s="5"/>
      <c r="BN3" s="5"/>
    </row>
    <row r="4" spans="1:66" ht="17" thickBot="1" x14ac:dyDescent="0.25">
      <c r="A4" s="14">
        <v>2</v>
      </c>
      <c r="B4" s="15">
        <v>-1.8331248280761552</v>
      </c>
      <c r="E4" s="16"/>
      <c r="F4" s="19">
        <v>1.0000002337619662</v>
      </c>
      <c r="G4" s="20" t="s">
        <v>59</v>
      </c>
      <c r="I4" s="93" t="s">
        <v>60</v>
      </c>
      <c r="J4" s="94"/>
      <c r="K4" s="95"/>
      <c r="L4" s="96" t="s">
        <v>61</v>
      </c>
      <c r="M4" s="96"/>
      <c r="N4" s="97"/>
      <c r="P4" s="21"/>
      <c r="AH4" s="5">
        <v>0.25806450843811035</v>
      </c>
      <c r="AI4" s="5">
        <v>3</v>
      </c>
      <c r="AJ4" s="5"/>
      <c r="AK4" s="5">
        <v>-9</v>
      </c>
      <c r="AL4" s="5">
        <v>1</v>
      </c>
      <c r="AM4" s="5"/>
      <c r="AN4" s="5"/>
      <c r="AO4" s="5"/>
      <c r="AP4" s="5"/>
      <c r="AQ4" s="5"/>
      <c r="AY4" s="5"/>
      <c r="AZ4" s="5"/>
      <c r="BA4" s="5"/>
      <c r="BB4" s="5"/>
      <c r="BC4" s="5"/>
      <c r="BD4" s="5"/>
      <c r="BE4" s="5"/>
      <c r="BF4" s="5"/>
      <c r="BG4" s="5"/>
      <c r="BH4" s="5"/>
      <c r="BI4" s="5"/>
      <c r="BJ4" s="5"/>
      <c r="BK4" s="5"/>
      <c r="BL4" s="5"/>
      <c r="BM4" s="5"/>
      <c r="BN4" s="5"/>
    </row>
    <row r="5" spans="1:66" x14ac:dyDescent="0.2">
      <c r="A5" s="14">
        <v>3</v>
      </c>
      <c r="B5" s="15">
        <v>-0.91113403845857954</v>
      </c>
      <c r="E5" s="22"/>
      <c r="F5" s="23"/>
      <c r="G5" s="22"/>
      <c r="I5" s="24" t="s">
        <v>62</v>
      </c>
      <c r="J5" s="25">
        <v>-3.8959830335862852E-2</v>
      </c>
      <c r="K5" s="26"/>
      <c r="L5" s="27"/>
      <c r="M5" s="28"/>
      <c r="N5" s="26"/>
      <c r="P5" s="21"/>
      <c r="AH5" s="5">
        <v>0.38709676265716553</v>
      </c>
      <c r="AI5" s="5">
        <v>4</v>
      </c>
      <c r="AJ5" s="5"/>
      <c r="AK5" s="5">
        <v>-9</v>
      </c>
      <c r="AL5" s="5">
        <v>0</v>
      </c>
      <c r="AM5" s="5"/>
      <c r="AN5" s="5"/>
      <c r="AO5" s="5"/>
      <c r="AP5" s="5"/>
      <c r="AQ5" s="5"/>
      <c r="AY5" s="5"/>
      <c r="AZ5" s="5"/>
      <c r="BA5" s="5"/>
      <c r="BB5" s="5"/>
      <c r="BC5" s="5"/>
      <c r="BD5" s="5"/>
      <c r="BE5" s="5"/>
      <c r="BF5" s="5"/>
      <c r="BG5" s="5"/>
      <c r="BH5" s="5"/>
      <c r="BI5" s="5"/>
      <c r="BJ5" s="5"/>
      <c r="BK5" s="5"/>
      <c r="BL5" s="5"/>
      <c r="BM5" s="5"/>
      <c r="BN5" s="5"/>
    </row>
    <row r="6" spans="1:66" x14ac:dyDescent="0.2">
      <c r="A6" s="14">
        <v>4</v>
      </c>
      <c r="B6" s="43">
        <v>-1.3743046453792164E-2</v>
      </c>
      <c r="I6" s="29" t="s">
        <v>54</v>
      </c>
      <c r="J6" s="30">
        <v>1.3859987229690454</v>
      </c>
      <c r="K6" s="31"/>
      <c r="L6" s="5"/>
      <c r="M6" s="5"/>
      <c r="N6" s="26"/>
      <c r="AH6" s="5">
        <v>0.5161290168762207</v>
      </c>
      <c r="AI6" s="5">
        <v>8</v>
      </c>
      <c r="AJ6" s="5"/>
      <c r="AK6" s="5">
        <v>-8.5</v>
      </c>
      <c r="AL6" s="5">
        <v>0</v>
      </c>
      <c r="AM6" s="5"/>
      <c r="AN6" s="5"/>
      <c r="AO6" s="5"/>
      <c r="AP6" s="5"/>
      <c r="AQ6" s="5"/>
      <c r="AY6" s="5"/>
      <c r="AZ6" s="5"/>
      <c r="BA6" s="5"/>
      <c r="BB6" s="5"/>
      <c r="BC6" s="5"/>
      <c r="BD6" s="5"/>
      <c r="BE6" s="5"/>
      <c r="BF6" s="5"/>
      <c r="BG6" s="5"/>
      <c r="BH6" s="5"/>
      <c r="BI6" s="5"/>
      <c r="BJ6" s="5"/>
      <c r="BK6" s="5"/>
      <c r="BL6" s="5"/>
      <c r="BM6" s="5"/>
      <c r="BN6" s="5"/>
    </row>
    <row r="7" spans="1:66" x14ac:dyDescent="0.2">
      <c r="A7" s="14">
        <v>5</v>
      </c>
      <c r="B7" s="43">
        <v>0.3910135642384896</v>
      </c>
      <c r="F7" s="32"/>
      <c r="I7" s="33" t="s">
        <v>63</v>
      </c>
      <c r="J7" s="34">
        <v>6.3381262910817533</v>
      </c>
      <c r="K7" s="26"/>
      <c r="L7" s="35"/>
      <c r="N7" s="26"/>
      <c r="AH7" s="5">
        <v>0.64516127109527588</v>
      </c>
      <c r="AI7" s="5">
        <v>4</v>
      </c>
      <c r="AJ7" s="5"/>
      <c r="AK7" s="5">
        <v>-8.5</v>
      </c>
      <c r="AL7" s="5">
        <v>1</v>
      </c>
      <c r="AM7" s="5"/>
      <c r="AN7" s="5"/>
      <c r="AO7" s="5"/>
      <c r="AP7" s="5"/>
      <c r="AQ7" s="5"/>
      <c r="AY7" s="5"/>
      <c r="AZ7" s="5"/>
      <c r="BA7" s="5"/>
      <c r="BB7" s="5"/>
      <c r="BC7" s="5"/>
      <c r="BD7" s="5"/>
      <c r="BE7" s="5"/>
      <c r="BF7" s="5"/>
      <c r="BG7" s="5"/>
      <c r="BH7" s="5"/>
      <c r="BI7" s="5"/>
      <c r="BJ7" s="5"/>
      <c r="BK7" s="5"/>
      <c r="BL7" s="5"/>
      <c r="BM7" s="5"/>
      <c r="BN7" s="5"/>
    </row>
    <row r="8" spans="1:66" ht="17" thickBot="1" x14ac:dyDescent="0.25">
      <c r="A8" s="14">
        <v>6</v>
      </c>
      <c r="B8" s="43">
        <v>-6.0790452981002074</v>
      </c>
      <c r="F8" s="32"/>
      <c r="I8" s="36" t="s">
        <v>64</v>
      </c>
      <c r="J8" s="37">
        <v>-9.162256833951508</v>
      </c>
      <c r="K8" s="38"/>
      <c r="L8" s="22"/>
      <c r="M8" s="22"/>
      <c r="N8" s="26"/>
      <c r="AH8" s="5">
        <v>0.77419352531433105</v>
      </c>
      <c r="AI8" s="5">
        <v>9</v>
      </c>
      <c r="AJ8" s="5"/>
      <c r="AK8" s="5">
        <v>-8</v>
      </c>
      <c r="AL8" s="5">
        <v>1</v>
      </c>
      <c r="AM8" s="5"/>
      <c r="AN8" s="5"/>
      <c r="AO8" s="5"/>
      <c r="AP8" s="5"/>
      <c r="AQ8" s="5"/>
      <c r="AY8" s="5"/>
      <c r="AZ8" s="5"/>
      <c r="BA8" s="5"/>
      <c r="BB8" s="5"/>
      <c r="BC8" s="5"/>
      <c r="BD8" s="5"/>
      <c r="BE8" s="5"/>
      <c r="BF8" s="5"/>
      <c r="BG8" s="5"/>
      <c r="BH8" s="5"/>
      <c r="BI8" s="5"/>
      <c r="BJ8" s="5"/>
      <c r="BK8" s="5"/>
      <c r="BL8" s="5"/>
      <c r="BM8" s="5"/>
      <c r="BN8" s="5"/>
    </row>
    <row r="9" spans="1:66" x14ac:dyDescent="0.2">
      <c r="A9" s="14">
        <v>7</v>
      </c>
      <c r="B9" s="43">
        <v>0.78708512467485692</v>
      </c>
      <c r="F9" s="39"/>
      <c r="I9" s="22"/>
      <c r="J9" s="40"/>
      <c r="K9" s="22"/>
      <c r="L9" s="22"/>
      <c r="M9" s="22"/>
      <c r="N9" s="22"/>
      <c r="AH9" s="5">
        <v>0.90322577953338623</v>
      </c>
      <c r="AI9" s="5">
        <v>9</v>
      </c>
      <c r="AJ9" s="5"/>
      <c r="AK9" s="5">
        <v>-8</v>
      </c>
      <c r="AL9" s="5">
        <v>0</v>
      </c>
      <c r="AM9" s="5"/>
      <c r="AN9" s="5"/>
      <c r="AO9" s="5"/>
      <c r="AP9" s="5"/>
      <c r="AQ9" s="5"/>
      <c r="AY9" s="5"/>
      <c r="AZ9" s="5"/>
      <c r="BA9" s="5"/>
      <c r="BB9" s="5"/>
      <c r="BC9" s="5"/>
      <c r="BD9" s="5"/>
      <c r="BE9" s="5"/>
      <c r="BF9" s="5"/>
      <c r="BG9" s="5"/>
      <c r="BH9" s="5"/>
      <c r="BI9" s="5"/>
      <c r="BJ9" s="5"/>
      <c r="BK9" s="5"/>
      <c r="BL9" s="5"/>
      <c r="BM9" s="5"/>
      <c r="BN9" s="5"/>
    </row>
    <row r="10" spans="1:66" x14ac:dyDescent="0.2">
      <c r="A10" s="14">
        <v>8</v>
      </c>
      <c r="B10" s="43">
        <v>-0.13793831371291915</v>
      </c>
      <c r="F10" s="39"/>
      <c r="I10" s="16"/>
      <c r="J10" s="40"/>
      <c r="K10" s="22"/>
      <c r="L10" s="22"/>
      <c r="M10" s="22"/>
      <c r="N10" s="22"/>
      <c r="P10" s="21"/>
      <c r="AH10" s="5">
        <v>1.0322580337524414</v>
      </c>
      <c r="AI10" s="5">
        <v>12</v>
      </c>
      <c r="AJ10" s="5"/>
      <c r="AK10" s="5">
        <v>-7.5</v>
      </c>
      <c r="AL10" s="5">
        <v>0</v>
      </c>
      <c r="AM10" s="5"/>
      <c r="AN10" s="5"/>
      <c r="AO10" s="5"/>
      <c r="AP10" s="5"/>
      <c r="AQ10" s="5"/>
      <c r="AY10" s="5"/>
      <c r="AZ10" s="5"/>
      <c r="BA10" s="5"/>
      <c r="BB10" s="5"/>
      <c r="BC10" s="5"/>
      <c r="BD10" s="5"/>
      <c r="BE10" s="5"/>
      <c r="BF10" s="5"/>
      <c r="BG10" s="5"/>
      <c r="BH10" s="5"/>
      <c r="BI10" s="5"/>
      <c r="BJ10" s="5"/>
      <c r="BK10" s="5"/>
      <c r="BL10" s="5"/>
      <c r="BM10" s="5"/>
      <c r="BN10" s="5"/>
    </row>
    <row r="11" spans="1:66" x14ac:dyDescent="0.2">
      <c r="A11" s="14">
        <v>9</v>
      </c>
      <c r="B11" s="43">
        <v>1.5239927298153184</v>
      </c>
      <c r="I11" s="22"/>
      <c r="J11" s="40"/>
      <c r="K11" s="22"/>
      <c r="L11" s="22"/>
      <c r="M11" s="22"/>
      <c r="N11" s="22"/>
      <c r="P11" s="21"/>
      <c r="AH11" s="5">
        <v>1.1612902879714966</v>
      </c>
      <c r="AI11" s="5">
        <v>8</v>
      </c>
      <c r="AJ11" s="5"/>
      <c r="AK11" s="5">
        <v>-7.5</v>
      </c>
      <c r="AL11" s="5">
        <v>0</v>
      </c>
      <c r="AM11" s="5"/>
      <c r="AN11" s="5"/>
      <c r="AO11" s="5"/>
      <c r="AP11" s="5"/>
      <c r="AQ11" s="5"/>
      <c r="AY11" s="5"/>
      <c r="AZ11" s="5"/>
      <c r="BA11" s="5"/>
      <c r="BB11" s="5"/>
      <c r="BC11" s="5"/>
      <c r="BD11" s="5"/>
      <c r="BE11" s="5"/>
      <c r="BF11" s="5"/>
      <c r="BG11" s="5"/>
      <c r="BH11" s="5"/>
      <c r="BI11" s="5"/>
      <c r="BJ11" s="5"/>
      <c r="BK11" s="5"/>
      <c r="BL11" s="5"/>
      <c r="BM11" s="5"/>
      <c r="BN11" s="5"/>
    </row>
    <row r="12" spans="1:66" x14ac:dyDescent="0.2">
      <c r="A12" s="14">
        <v>10</v>
      </c>
      <c r="B12" s="43">
        <v>-1.0422413642346637</v>
      </c>
      <c r="I12" s="22"/>
      <c r="J12" s="22"/>
      <c r="K12" s="22"/>
      <c r="L12" s="22"/>
      <c r="M12" s="22"/>
      <c r="N12" s="22"/>
      <c r="P12" s="21"/>
      <c r="AH12" s="5">
        <v>1.2903225421905518</v>
      </c>
      <c r="AI12" s="5">
        <v>3</v>
      </c>
      <c r="AJ12" s="5"/>
      <c r="AK12" s="5">
        <v>-7</v>
      </c>
      <c r="AL12" s="5">
        <v>0</v>
      </c>
      <c r="AM12" s="5"/>
      <c r="AN12" s="5"/>
      <c r="AO12" s="5"/>
      <c r="AP12" s="5"/>
      <c r="AQ12" s="5"/>
      <c r="AY12" s="5"/>
      <c r="AZ12" s="5"/>
      <c r="BA12" s="5"/>
      <c r="BB12" s="5"/>
      <c r="BC12" s="5"/>
      <c r="BD12" s="5"/>
      <c r="BE12" s="5"/>
      <c r="BF12" s="5"/>
      <c r="BG12" s="5"/>
      <c r="BH12" s="5"/>
      <c r="BI12" s="5"/>
      <c r="BJ12" s="5"/>
      <c r="BK12" s="5"/>
      <c r="BL12" s="5"/>
      <c r="BM12" s="5"/>
      <c r="BN12" s="5"/>
    </row>
    <row r="13" spans="1:66" x14ac:dyDescent="0.2">
      <c r="A13" s="14">
        <v>11</v>
      </c>
      <c r="B13" s="15">
        <v>-1.7447725860141501</v>
      </c>
      <c r="I13" s="22"/>
      <c r="J13" s="22"/>
      <c r="K13" s="22"/>
      <c r="L13" s="22"/>
      <c r="M13" s="22"/>
      <c r="N13" s="22"/>
      <c r="AH13" s="5">
        <v>1.4193547964096069</v>
      </c>
      <c r="AI13" s="5">
        <v>6</v>
      </c>
      <c r="AJ13" s="5"/>
      <c r="AK13" s="5">
        <v>-7</v>
      </c>
      <c r="AL13" s="5">
        <v>0</v>
      </c>
      <c r="AM13" s="5"/>
      <c r="AN13" s="5"/>
      <c r="AO13" s="5"/>
      <c r="AP13" s="5"/>
      <c r="AQ13" s="5"/>
      <c r="AY13" s="5"/>
      <c r="AZ13" s="5"/>
      <c r="BA13" s="5"/>
      <c r="BB13" s="5"/>
      <c r="BC13" s="5"/>
      <c r="BD13" s="5"/>
      <c r="BE13" s="5"/>
      <c r="BF13" s="5"/>
      <c r="BG13" s="5"/>
      <c r="BH13" s="5"/>
      <c r="BI13" s="5"/>
      <c r="BJ13" s="5"/>
      <c r="BK13" s="5"/>
      <c r="BL13" s="5"/>
      <c r="BM13" s="5"/>
      <c r="BN13" s="5"/>
    </row>
    <row r="14" spans="1:66" x14ac:dyDescent="0.2">
      <c r="A14" s="14">
        <v>12</v>
      </c>
      <c r="B14" s="15">
        <v>0.64288543056320535</v>
      </c>
      <c r="E14" s="41"/>
      <c r="I14" s="22"/>
      <c r="J14" s="22"/>
      <c r="K14" s="22"/>
      <c r="L14" s="22"/>
      <c r="M14" s="22"/>
      <c r="N14" s="22"/>
      <c r="AH14" s="5">
        <v>1.5483870506286621</v>
      </c>
      <c r="AI14" s="5">
        <v>7</v>
      </c>
      <c r="AJ14" s="5"/>
      <c r="AK14" s="5">
        <v>-6.5</v>
      </c>
      <c r="AL14" s="5">
        <v>0</v>
      </c>
      <c r="AM14" s="5"/>
      <c r="AN14" s="5"/>
      <c r="AO14" s="5"/>
      <c r="AP14" s="5"/>
      <c r="AQ14" s="5"/>
      <c r="AY14" s="5"/>
      <c r="AZ14" s="5"/>
      <c r="BA14" s="5"/>
      <c r="BB14" s="5"/>
      <c r="BC14" s="5"/>
      <c r="BD14" s="5"/>
      <c r="BE14" s="5"/>
      <c r="BF14" s="5"/>
      <c r="BG14" s="5"/>
      <c r="BH14" s="5"/>
      <c r="BI14" s="5"/>
      <c r="BJ14" s="5"/>
      <c r="BK14" s="5"/>
      <c r="BL14" s="5"/>
      <c r="BM14" s="5"/>
      <c r="BN14" s="5"/>
    </row>
    <row r="15" spans="1:66" x14ac:dyDescent="0.2">
      <c r="A15" s="14">
        <v>13</v>
      </c>
      <c r="B15" s="15">
        <v>-0.44732704668120266</v>
      </c>
      <c r="E15" s="41"/>
      <c r="I15" s="22"/>
      <c r="J15" s="22"/>
      <c r="K15" s="22"/>
      <c r="L15" s="22"/>
      <c r="M15" s="22"/>
      <c r="N15" s="22"/>
      <c r="AH15" s="5">
        <v>1.6774193048477173</v>
      </c>
      <c r="AI15" s="5">
        <v>6</v>
      </c>
      <c r="AJ15" s="5"/>
      <c r="AK15" s="5">
        <v>-6.5</v>
      </c>
      <c r="AL15" s="5">
        <v>1</v>
      </c>
      <c r="AM15" s="5"/>
      <c r="AN15" s="5"/>
      <c r="AO15" s="5"/>
      <c r="AP15" s="5"/>
      <c r="AQ15" s="5"/>
      <c r="AY15" s="5"/>
      <c r="AZ15" s="5"/>
      <c r="BA15" s="5"/>
      <c r="BB15" s="5"/>
      <c r="BC15" s="5"/>
      <c r="BD15" s="5"/>
      <c r="BE15" s="5"/>
      <c r="BF15" s="5"/>
      <c r="BG15" s="5"/>
      <c r="BH15" s="5"/>
      <c r="BI15" s="5"/>
      <c r="BJ15" s="5"/>
      <c r="BK15" s="5"/>
      <c r="BL15" s="5"/>
      <c r="BM15" s="5"/>
      <c r="BN15" s="5"/>
    </row>
    <row r="16" spans="1:66" x14ac:dyDescent="0.2">
      <c r="A16" s="14">
        <v>14</v>
      </c>
      <c r="B16" s="15">
        <v>0.54885910117300762</v>
      </c>
      <c r="E16" s="41"/>
      <c r="I16" s="22"/>
      <c r="J16" s="22"/>
      <c r="K16" s="22"/>
      <c r="L16" s="22"/>
      <c r="M16" s="22"/>
      <c r="N16" s="22"/>
      <c r="AH16" s="5">
        <v>1.8064515590667725</v>
      </c>
      <c r="AI16" s="5">
        <v>6</v>
      </c>
      <c r="AJ16" s="5"/>
      <c r="AK16" s="5">
        <v>-6</v>
      </c>
      <c r="AL16" s="5">
        <v>1</v>
      </c>
      <c r="AM16" s="5"/>
      <c r="AN16" s="5"/>
      <c r="AO16" s="5"/>
      <c r="AP16" s="5"/>
      <c r="AQ16" s="5"/>
      <c r="AY16" s="5"/>
      <c r="AZ16" s="5"/>
      <c r="BA16" s="5"/>
      <c r="BB16" s="5"/>
      <c r="BC16" s="5"/>
      <c r="BD16" s="5"/>
      <c r="BE16" s="5"/>
      <c r="BF16" s="5"/>
      <c r="BG16" s="5"/>
      <c r="BH16" s="5"/>
      <c r="BI16" s="5"/>
      <c r="BJ16" s="5"/>
      <c r="BK16" s="5"/>
      <c r="BL16" s="5"/>
      <c r="BM16" s="5"/>
      <c r="BN16" s="5"/>
    </row>
    <row r="17" spans="1:66" x14ac:dyDescent="0.2">
      <c r="A17" s="14">
        <v>15</v>
      </c>
      <c r="B17" s="15">
        <v>0.26896643741599185</v>
      </c>
      <c r="I17" s="22"/>
      <c r="J17" s="22"/>
      <c r="K17" s="22"/>
      <c r="L17" s="22"/>
      <c r="M17" s="22"/>
      <c r="N17" s="22"/>
      <c r="AH17" s="5">
        <v>1.9354838132858276</v>
      </c>
      <c r="AI17" s="5">
        <v>2</v>
      </c>
      <c r="AJ17" s="5"/>
      <c r="AK17" s="5">
        <v>-6</v>
      </c>
      <c r="AL17" s="5">
        <v>0</v>
      </c>
      <c r="AM17" s="5"/>
      <c r="AN17" s="5"/>
      <c r="AO17" s="5"/>
      <c r="AP17" s="5"/>
      <c r="AQ17" s="5"/>
      <c r="AY17" s="5"/>
      <c r="AZ17" s="5"/>
      <c r="BA17" s="5"/>
      <c r="BB17" s="5"/>
      <c r="BC17" s="5"/>
      <c r="BD17" s="5"/>
      <c r="BE17" s="5"/>
      <c r="BF17" s="5"/>
      <c r="BG17" s="5"/>
      <c r="BH17" s="5"/>
      <c r="BI17" s="5"/>
      <c r="BJ17" s="5"/>
      <c r="BK17" s="5"/>
      <c r="BL17" s="5"/>
      <c r="BM17" s="5"/>
      <c r="BN17" s="5"/>
    </row>
    <row r="18" spans="1:66" x14ac:dyDescent="0.2">
      <c r="A18" s="14">
        <v>16</v>
      </c>
      <c r="B18" s="15">
        <v>0.64506416269151534</v>
      </c>
      <c r="I18" s="22"/>
      <c r="J18" s="22"/>
      <c r="K18" s="22"/>
      <c r="L18" s="22"/>
      <c r="M18" s="22"/>
      <c r="N18" s="22"/>
      <c r="AH18" s="5">
        <v>2.0645160675048828</v>
      </c>
      <c r="AI18" s="5">
        <v>5</v>
      </c>
      <c r="AJ18" s="5"/>
      <c r="AK18" s="5">
        <v>-5.5</v>
      </c>
      <c r="AL18" s="5">
        <v>0</v>
      </c>
      <c r="AM18" s="5"/>
      <c r="AN18" s="5"/>
      <c r="AO18" s="5"/>
      <c r="AP18" s="5"/>
      <c r="AQ18" s="5"/>
      <c r="AY18" s="5"/>
      <c r="AZ18" s="5"/>
      <c r="BA18" s="5"/>
      <c r="BB18" s="5"/>
      <c r="BC18" s="5"/>
      <c r="BD18" s="5"/>
      <c r="BE18" s="5"/>
      <c r="BF18" s="5"/>
      <c r="BG18" s="5"/>
      <c r="BH18" s="5"/>
      <c r="BI18" s="5"/>
      <c r="BJ18" s="5"/>
      <c r="BK18" s="5"/>
      <c r="BL18" s="5"/>
      <c r="BM18" s="5"/>
      <c r="BN18" s="5"/>
    </row>
    <row r="19" spans="1:66" x14ac:dyDescent="0.2">
      <c r="A19" s="14">
        <v>17</v>
      </c>
      <c r="B19" s="15">
        <v>-0.33811913421048673</v>
      </c>
      <c r="I19" s="22"/>
      <c r="J19" s="22"/>
      <c r="K19" s="22"/>
      <c r="L19" s="22"/>
      <c r="M19" s="22"/>
      <c r="N19" s="22"/>
      <c r="AH19" s="5">
        <v>2.193548321723938</v>
      </c>
      <c r="AI19" s="5">
        <v>2</v>
      </c>
      <c r="AJ19" s="5"/>
      <c r="AK19" s="5">
        <v>-5.5</v>
      </c>
      <c r="AL19" s="5">
        <v>2</v>
      </c>
      <c r="AM19" s="5"/>
      <c r="AN19" s="5"/>
      <c r="AO19" s="5"/>
      <c r="AP19" s="5"/>
      <c r="AQ19" s="5"/>
      <c r="AY19" s="5"/>
      <c r="AZ19" s="5"/>
      <c r="BA19" s="5"/>
      <c r="BB19" s="5"/>
      <c r="BC19" s="5"/>
      <c r="BD19" s="5"/>
      <c r="BE19" s="5"/>
      <c r="BF19" s="5"/>
      <c r="BG19" s="5"/>
      <c r="BH19" s="5"/>
      <c r="BI19" s="5"/>
      <c r="BJ19" s="5"/>
      <c r="BK19" s="5"/>
      <c r="BL19" s="5"/>
      <c r="BM19" s="5"/>
      <c r="BN19" s="5"/>
    </row>
    <row r="20" spans="1:66" x14ac:dyDescent="0.2">
      <c r="A20" s="14">
        <v>18</v>
      </c>
      <c r="B20" s="15">
        <v>1.570731897729458</v>
      </c>
      <c r="I20" s="22"/>
      <c r="J20" s="22"/>
      <c r="K20" s="22"/>
      <c r="L20" s="22"/>
      <c r="M20" s="22"/>
      <c r="N20" s="22"/>
      <c r="AH20" s="5">
        <v>2.3225805759429932</v>
      </c>
      <c r="AI20" s="5">
        <v>3</v>
      </c>
      <c r="AJ20" s="5"/>
      <c r="AK20" s="5">
        <v>-5</v>
      </c>
      <c r="AL20" s="5">
        <v>2</v>
      </c>
      <c r="AM20" s="5"/>
      <c r="AN20" s="5"/>
      <c r="AO20" s="5"/>
      <c r="AP20" s="5"/>
      <c r="AQ20" s="5"/>
      <c r="AY20" s="5"/>
      <c r="AZ20" s="5"/>
      <c r="BA20" s="5"/>
      <c r="BB20" s="5"/>
      <c r="BC20" s="5"/>
      <c r="BD20" s="5"/>
      <c r="BE20" s="5"/>
      <c r="BF20" s="5"/>
      <c r="BG20" s="5"/>
      <c r="BH20" s="5"/>
      <c r="BI20" s="5"/>
      <c r="BJ20" s="5"/>
      <c r="BK20" s="5"/>
      <c r="BL20" s="5"/>
      <c r="BM20" s="5"/>
      <c r="BN20" s="5"/>
    </row>
    <row r="21" spans="1:66" x14ac:dyDescent="0.2">
      <c r="A21" s="14">
        <v>19</v>
      </c>
      <c r="B21" s="15">
        <v>-1.3992149736847508</v>
      </c>
      <c r="I21" s="22"/>
      <c r="J21" s="22"/>
      <c r="K21" s="22"/>
      <c r="L21" s="22"/>
      <c r="M21" s="22"/>
      <c r="N21" s="22"/>
      <c r="AH21" s="5">
        <v>2.4516128301620483</v>
      </c>
      <c r="AI21" s="5">
        <v>2</v>
      </c>
      <c r="AJ21" s="5"/>
      <c r="AK21" s="5">
        <v>-5</v>
      </c>
      <c r="AL21" s="5">
        <v>2</v>
      </c>
      <c r="AM21" s="5"/>
      <c r="AN21" s="5"/>
      <c r="AO21" s="5"/>
      <c r="AP21" s="5"/>
      <c r="AQ21" s="5"/>
      <c r="AY21" s="5"/>
      <c r="AZ21" s="5"/>
      <c r="BA21" s="5"/>
      <c r="BB21" s="5"/>
      <c r="BC21" s="5"/>
      <c r="BD21" s="5"/>
      <c r="BE21" s="5"/>
      <c r="BF21" s="5"/>
      <c r="BG21" s="5"/>
      <c r="BH21" s="5"/>
      <c r="BI21" s="5"/>
      <c r="BJ21" s="5"/>
      <c r="BK21" s="5"/>
      <c r="BL21" s="5"/>
      <c r="BM21" s="5"/>
      <c r="BN21" s="5"/>
    </row>
    <row r="22" spans="1:66" x14ac:dyDescent="0.2">
      <c r="A22" s="14">
        <v>20</v>
      </c>
      <c r="B22" s="15">
        <v>-0.57154015173788764</v>
      </c>
      <c r="I22" s="22"/>
      <c r="J22" s="22"/>
      <c r="K22" s="22"/>
      <c r="L22" s="22"/>
      <c r="M22" s="22"/>
      <c r="N22" s="22"/>
      <c r="AH22" s="5">
        <v>2.5806450843811035</v>
      </c>
      <c r="AI22" s="5">
        <v>1</v>
      </c>
      <c r="AJ22" s="5"/>
      <c r="AK22" s="5">
        <v>-4.5</v>
      </c>
      <c r="AL22" s="5">
        <v>2</v>
      </c>
      <c r="AM22" s="5"/>
      <c r="AN22" s="5"/>
      <c r="AO22" s="5"/>
      <c r="AP22" s="5"/>
      <c r="AQ22" s="5"/>
      <c r="AY22" s="5"/>
      <c r="AZ22" s="5"/>
      <c r="BA22" s="5"/>
      <c r="BB22" s="5"/>
      <c r="BC22" s="5"/>
      <c r="BD22" s="5"/>
      <c r="BE22" s="5"/>
      <c r="BF22" s="5"/>
      <c r="BG22" s="5"/>
      <c r="BH22" s="5"/>
      <c r="BI22" s="5"/>
      <c r="BJ22" s="5"/>
      <c r="BK22" s="5"/>
      <c r="BL22" s="5"/>
      <c r="BM22" s="5"/>
      <c r="BN22" s="5"/>
    </row>
    <row r="23" spans="1:66" x14ac:dyDescent="0.2">
      <c r="A23" s="14">
        <v>21</v>
      </c>
      <c r="B23" s="15">
        <v>0.74463622844523147</v>
      </c>
      <c r="AH23" s="5">
        <v>2.7096773386001587</v>
      </c>
      <c r="AI23" s="5">
        <v>0</v>
      </c>
      <c r="AJ23" s="5"/>
      <c r="AK23" s="5">
        <v>-4.5</v>
      </c>
      <c r="AL23" s="5">
        <v>2</v>
      </c>
      <c r="AM23" s="5"/>
      <c r="AN23" s="5"/>
      <c r="AO23" s="5"/>
      <c r="AP23" s="5"/>
      <c r="AQ23" s="5"/>
      <c r="AY23" s="5"/>
      <c r="AZ23" s="5"/>
      <c r="BA23" s="5"/>
      <c r="BB23" s="5"/>
      <c r="BC23" s="5"/>
      <c r="BD23" s="5"/>
      <c r="BE23" s="5"/>
      <c r="BF23" s="5"/>
      <c r="BG23" s="5"/>
      <c r="BH23" s="5"/>
      <c r="BI23" s="5"/>
      <c r="BJ23" s="5"/>
      <c r="BK23" s="5"/>
      <c r="BL23" s="5"/>
      <c r="BM23" s="5"/>
      <c r="BN23" s="5"/>
    </row>
    <row r="24" spans="1:66" x14ac:dyDescent="0.2">
      <c r="A24" s="14">
        <v>22</v>
      </c>
      <c r="B24" s="15">
        <v>0.27576236711808882</v>
      </c>
      <c r="AH24" s="5">
        <v>2.8387095928192139</v>
      </c>
      <c r="AI24" s="5">
        <v>0</v>
      </c>
      <c r="AJ24" s="5"/>
      <c r="AK24" s="5">
        <v>-4</v>
      </c>
      <c r="AL24" s="5">
        <v>2</v>
      </c>
      <c r="AM24" s="5"/>
      <c r="AN24" s="5"/>
      <c r="AO24" s="5"/>
      <c r="AP24" s="5"/>
      <c r="AQ24" s="5"/>
      <c r="AY24" s="5"/>
      <c r="AZ24" s="5"/>
      <c r="BA24" s="5"/>
      <c r="BB24" s="5"/>
      <c r="BC24" s="5"/>
      <c r="BD24" s="5"/>
      <c r="BE24" s="5"/>
      <c r="BF24" s="5"/>
      <c r="BG24" s="5"/>
      <c r="BH24" s="5"/>
      <c r="BI24" s="5"/>
      <c r="BJ24" s="5"/>
      <c r="BK24" s="5"/>
      <c r="BL24" s="5"/>
      <c r="BM24" s="5"/>
      <c r="BN24" s="5"/>
    </row>
    <row r="25" spans="1:66" x14ac:dyDescent="0.2">
      <c r="A25" s="14">
        <v>23</v>
      </c>
      <c r="B25" s="15">
        <v>6.3939603159486602E-2</v>
      </c>
      <c r="AH25" s="5">
        <v>2.967741847038269</v>
      </c>
      <c r="AI25" s="5">
        <v>0</v>
      </c>
      <c r="AJ25" s="5"/>
      <c r="AK25" s="5">
        <v>-4</v>
      </c>
      <c r="AL25" s="5">
        <v>6</v>
      </c>
      <c r="AM25" s="5"/>
      <c r="AN25" s="5"/>
      <c r="AO25" s="5"/>
      <c r="AP25" s="5"/>
      <c r="AQ25" s="5"/>
      <c r="AY25" s="5"/>
      <c r="AZ25" s="5"/>
      <c r="BA25" s="5"/>
      <c r="BB25" s="5"/>
      <c r="BC25" s="5"/>
      <c r="BD25" s="5"/>
      <c r="BE25" s="5"/>
      <c r="BF25" s="5"/>
      <c r="BG25" s="5"/>
      <c r="BH25" s="5"/>
      <c r="BI25" s="5"/>
      <c r="BJ25" s="5"/>
      <c r="BK25" s="5"/>
      <c r="BL25" s="5"/>
      <c r="BM25" s="5"/>
      <c r="BN25" s="5"/>
    </row>
    <row r="26" spans="1:66" x14ac:dyDescent="0.2">
      <c r="A26" s="14">
        <v>24</v>
      </c>
      <c r="B26" s="15">
        <v>0.94284072668748542</v>
      </c>
      <c r="AH26" s="5">
        <v>3.0967741012573242</v>
      </c>
      <c r="AI26" s="5">
        <v>0</v>
      </c>
      <c r="AJ26" s="5"/>
      <c r="AK26" s="5">
        <v>-3.5</v>
      </c>
      <c r="AL26" s="5">
        <v>6</v>
      </c>
      <c r="AM26" s="5"/>
      <c r="AN26" s="5"/>
      <c r="AO26" s="5"/>
      <c r="AP26" s="5"/>
      <c r="AQ26" s="5"/>
      <c r="AY26" s="5"/>
      <c r="AZ26" s="5"/>
      <c r="BA26" s="5"/>
      <c r="BB26" s="5"/>
      <c r="BC26" s="5"/>
      <c r="BD26" s="5"/>
      <c r="BE26" s="5"/>
      <c r="BF26" s="5"/>
      <c r="BG26" s="5"/>
      <c r="BH26" s="5"/>
      <c r="BI26" s="5"/>
      <c r="BJ26" s="5"/>
      <c r="BK26" s="5"/>
      <c r="BL26" s="5"/>
      <c r="BM26" s="5"/>
      <c r="BN26" s="5"/>
    </row>
    <row r="27" spans="1:66" x14ac:dyDescent="0.2">
      <c r="A27" s="14">
        <v>25</v>
      </c>
      <c r="B27" s="15">
        <v>1.1152155924189682</v>
      </c>
      <c r="AH27" s="5">
        <v>3.2258063554763794</v>
      </c>
      <c r="AI27" s="5">
        <v>0</v>
      </c>
      <c r="AJ27" s="5"/>
      <c r="AK27" s="5">
        <v>-3.5</v>
      </c>
      <c r="AL27" s="5">
        <v>8</v>
      </c>
      <c r="AM27" s="5"/>
      <c r="AN27" s="5"/>
      <c r="AO27" s="5"/>
      <c r="AP27" s="5"/>
      <c r="AQ27" s="5"/>
      <c r="AY27" s="5"/>
      <c r="AZ27" s="5"/>
      <c r="BA27" s="5"/>
      <c r="BB27" s="5"/>
      <c r="BC27" s="5"/>
      <c r="BD27" s="5"/>
      <c r="BE27" s="5"/>
      <c r="BF27" s="5"/>
      <c r="BG27" s="5"/>
      <c r="BH27" s="5"/>
      <c r="BI27" s="5"/>
      <c r="BJ27" s="5"/>
      <c r="BK27" s="5"/>
      <c r="BL27" s="5"/>
      <c r="BM27" s="5"/>
      <c r="BN27" s="5"/>
    </row>
    <row r="28" spans="1:66" x14ac:dyDescent="0.2">
      <c r="A28" s="14">
        <v>26</v>
      </c>
      <c r="B28" s="15">
        <v>-1.4180169426115741</v>
      </c>
      <c r="AH28" s="5">
        <v>3.3548386096954346</v>
      </c>
      <c r="AI28" s="5">
        <v>0</v>
      </c>
      <c r="AJ28" s="5"/>
      <c r="AK28" s="5">
        <v>-3</v>
      </c>
      <c r="AL28" s="5">
        <v>8</v>
      </c>
      <c r="AM28" s="5"/>
      <c r="AN28" s="5"/>
      <c r="AO28" s="5"/>
      <c r="AP28" s="5"/>
      <c r="AQ28" s="5"/>
      <c r="AY28" s="5"/>
      <c r="AZ28" s="5"/>
      <c r="BA28" s="5"/>
      <c r="BB28" s="5"/>
      <c r="BC28" s="5"/>
      <c r="BD28" s="5"/>
      <c r="BE28" s="5"/>
      <c r="BF28" s="5"/>
      <c r="BG28" s="5"/>
      <c r="BH28" s="5"/>
      <c r="BI28" s="5"/>
      <c r="BJ28" s="5"/>
      <c r="BK28" s="5"/>
      <c r="BL28" s="5"/>
      <c r="BM28" s="5"/>
      <c r="BN28" s="5"/>
    </row>
    <row r="29" spans="1:66" x14ac:dyDescent="0.2">
      <c r="A29" s="14">
        <v>27</v>
      </c>
      <c r="B29" s="15">
        <v>-2.2690489702375376</v>
      </c>
      <c r="AH29" s="5">
        <v>3.4838708639144897</v>
      </c>
      <c r="AI29" s="5">
        <v>0</v>
      </c>
      <c r="AJ29" s="5"/>
      <c r="AK29" s="5">
        <v>-3</v>
      </c>
      <c r="AL29" s="5">
        <v>9</v>
      </c>
      <c r="AM29" s="5"/>
      <c r="AN29" s="5"/>
      <c r="AO29" s="5"/>
      <c r="AP29" s="5"/>
      <c r="AQ29" s="5"/>
      <c r="AY29" s="5"/>
      <c r="AZ29" s="5"/>
      <c r="BA29" s="5"/>
      <c r="BB29" s="5"/>
      <c r="BC29" s="5"/>
      <c r="BD29" s="5"/>
      <c r="BE29" s="5"/>
      <c r="BF29" s="5"/>
      <c r="BG29" s="5"/>
      <c r="BH29" s="5"/>
      <c r="BI29" s="5"/>
      <c r="BJ29" s="5"/>
      <c r="BK29" s="5"/>
      <c r="BL29" s="5"/>
      <c r="BM29" s="5"/>
      <c r="BN29" s="5"/>
    </row>
    <row r="30" spans="1:66" x14ac:dyDescent="0.2">
      <c r="A30" s="14">
        <v>28</v>
      </c>
      <c r="B30" s="15">
        <v>-0.16466833460643587</v>
      </c>
      <c r="AH30" s="5">
        <v>3.6129031181335449</v>
      </c>
      <c r="AI30" s="5">
        <v>0</v>
      </c>
      <c r="AJ30" s="5"/>
      <c r="AK30" s="5">
        <v>-2.5</v>
      </c>
      <c r="AL30" s="5">
        <v>9</v>
      </c>
      <c r="AM30" s="5"/>
      <c r="AN30" s="5"/>
      <c r="AO30" s="5"/>
      <c r="AP30" s="5"/>
      <c r="AQ30" s="5"/>
      <c r="AY30" s="5"/>
      <c r="AZ30" s="5"/>
      <c r="BA30" s="5"/>
      <c r="BB30" s="5"/>
      <c r="BC30" s="5"/>
      <c r="BD30" s="5"/>
      <c r="BE30" s="5"/>
      <c r="BF30" s="5"/>
      <c r="BG30" s="5"/>
      <c r="BH30" s="5"/>
      <c r="BI30" s="5"/>
      <c r="BJ30" s="5"/>
      <c r="BK30" s="5"/>
      <c r="BL30" s="5"/>
      <c r="BM30" s="5"/>
      <c r="BN30" s="5"/>
    </row>
    <row r="31" spans="1:66" x14ac:dyDescent="0.2">
      <c r="A31" s="14">
        <v>29</v>
      </c>
      <c r="B31" s="15">
        <v>-0.87768877734035244</v>
      </c>
      <c r="AH31" s="5">
        <v>3.7419353723526001</v>
      </c>
      <c r="AI31" s="5">
        <v>0</v>
      </c>
      <c r="AJ31" s="5"/>
      <c r="AK31" s="5">
        <v>-2.5</v>
      </c>
      <c r="AL31" s="5">
        <v>19</v>
      </c>
      <c r="AM31" s="5"/>
      <c r="AN31" s="5"/>
      <c r="AO31" s="5"/>
      <c r="AP31" s="5"/>
      <c r="AQ31" s="5"/>
      <c r="AY31" s="5"/>
      <c r="AZ31" s="5"/>
      <c r="BA31" s="5"/>
      <c r="BB31" s="5"/>
      <c r="BC31" s="5"/>
      <c r="BD31" s="5"/>
      <c r="BE31" s="5"/>
      <c r="BF31" s="5"/>
      <c r="BG31" s="5"/>
      <c r="BH31" s="5"/>
      <c r="BI31" s="5"/>
      <c r="BJ31" s="5"/>
      <c r="BK31" s="5"/>
      <c r="BL31" s="5"/>
      <c r="BM31" s="5"/>
      <c r="BN31" s="5"/>
    </row>
    <row r="32" spans="1:66" x14ac:dyDescent="0.2">
      <c r="A32" s="14">
        <v>30</v>
      </c>
      <c r="B32" s="15">
        <v>0.77236868738260933</v>
      </c>
      <c r="AH32" s="5">
        <v>3.8709676265716553</v>
      </c>
      <c r="AI32" s="5">
        <v>0</v>
      </c>
      <c r="AJ32" s="5"/>
      <c r="AK32" s="5">
        <v>-2</v>
      </c>
      <c r="AL32" s="5">
        <v>19</v>
      </c>
      <c r="AM32" s="5"/>
      <c r="AN32" s="5"/>
      <c r="AO32" s="5"/>
      <c r="AP32" s="5"/>
      <c r="AQ32" s="5"/>
      <c r="AY32" s="5"/>
      <c r="AZ32" s="5"/>
      <c r="BA32" s="5"/>
      <c r="BB32" s="5"/>
      <c r="BC32" s="5"/>
      <c r="BD32" s="5"/>
      <c r="BE32" s="5"/>
      <c r="BF32" s="5"/>
      <c r="BG32" s="5"/>
      <c r="BH32" s="5"/>
      <c r="BI32" s="5"/>
      <c r="BJ32" s="5"/>
      <c r="BK32" s="5"/>
      <c r="BL32" s="5"/>
      <c r="BM32" s="5"/>
      <c r="BN32" s="5"/>
    </row>
    <row r="33" spans="1:66" x14ac:dyDescent="0.2">
      <c r="A33" s="14">
        <v>31</v>
      </c>
      <c r="B33" s="15">
        <v>-0.17846892177588461</v>
      </c>
      <c r="AH33" s="5">
        <v>3.9999998807907104</v>
      </c>
      <c r="AI33" s="5">
        <v>0</v>
      </c>
      <c r="AJ33" s="5"/>
      <c r="AK33" s="5">
        <v>-2</v>
      </c>
      <c r="AL33" s="5">
        <v>50</v>
      </c>
      <c r="AM33" s="5"/>
      <c r="AN33" s="5"/>
      <c r="AO33" s="5"/>
      <c r="AP33" s="5"/>
      <c r="AQ33" s="5"/>
      <c r="AY33" s="5"/>
      <c r="AZ33" s="5"/>
      <c r="BA33" s="5"/>
      <c r="BB33" s="5"/>
      <c r="BC33" s="5"/>
      <c r="BD33" s="5"/>
      <c r="BE33" s="5"/>
      <c r="BF33" s="5"/>
      <c r="BG33" s="5"/>
      <c r="BH33" s="5"/>
      <c r="BI33" s="5"/>
      <c r="BJ33" s="5"/>
      <c r="BK33" s="5"/>
      <c r="BL33" s="5"/>
      <c r="BM33" s="5"/>
      <c r="BN33" s="5"/>
    </row>
    <row r="34" spans="1:66" x14ac:dyDescent="0.2">
      <c r="A34" s="14">
        <v>32</v>
      </c>
      <c r="B34" s="15">
        <v>0.5531939160387418</v>
      </c>
      <c r="AH34" s="5"/>
      <c r="AI34" s="5"/>
      <c r="AJ34" s="5"/>
      <c r="AK34" s="5">
        <v>-1.5</v>
      </c>
      <c r="AL34" s="5">
        <v>50</v>
      </c>
      <c r="AM34" s="5"/>
      <c r="AN34" s="5"/>
      <c r="AO34" s="5"/>
      <c r="AP34" s="5"/>
      <c r="AQ34" s="5"/>
      <c r="AY34" s="5"/>
      <c r="AZ34" s="5"/>
      <c r="BA34" s="5"/>
      <c r="BB34" s="5"/>
      <c r="BC34" s="5"/>
      <c r="BD34" s="5"/>
      <c r="BE34" s="5"/>
      <c r="BF34" s="5"/>
      <c r="BG34" s="5"/>
      <c r="BH34" s="5"/>
      <c r="BI34" s="5"/>
      <c r="BJ34" s="5"/>
      <c r="BK34" s="5"/>
      <c r="BL34" s="5"/>
      <c r="BM34" s="5"/>
      <c r="BN34" s="5"/>
    </row>
    <row r="35" spans="1:66" x14ac:dyDescent="0.2">
      <c r="A35" s="14">
        <v>33</v>
      </c>
      <c r="B35" s="15">
        <v>-0.88621422014659657</v>
      </c>
      <c r="AH35" s="5"/>
      <c r="AI35" s="5"/>
      <c r="AJ35" s="5"/>
      <c r="AK35" s="5">
        <v>-1.5</v>
      </c>
      <c r="AL35" s="5">
        <v>89</v>
      </c>
      <c r="AM35" s="5"/>
      <c r="AN35" s="5"/>
      <c r="AO35" s="5"/>
      <c r="AP35" s="5"/>
      <c r="AQ35" s="5"/>
      <c r="AY35" s="5"/>
      <c r="AZ35" s="5"/>
      <c r="BA35" s="5"/>
      <c r="BB35" s="5"/>
      <c r="BC35" s="5"/>
      <c r="BD35" s="5"/>
      <c r="BE35" s="5"/>
      <c r="BF35" s="5"/>
      <c r="BG35" s="5"/>
      <c r="BH35" s="5"/>
      <c r="BI35" s="5"/>
      <c r="BJ35" s="5"/>
      <c r="BK35" s="5"/>
      <c r="BL35" s="5"/>
      <c r="BM35" s="5"/>
      <c r="BN35" s="5"/>
    </row>
    <row r="36" spans="1:66" x14ac:dyDescent="0.2">
      <c r="A36" s="14">
        <v>34</v>
      </c>
      <c r="B36" s="15">
        <v>-1.491836474545797</v>
      </c>
      <c r="AH36" s="5"/>
      <c r="AI36" s="5"/>
      <c r="AJ36" s="5"/>
      <c r="AK36" s="5">
        <v>-1</v>
      </c>
      <c r="AL36" s="5">
        <v>89</v>
      </c>
      <c r="AM36" s="5"/>
      <c r="AN36" s="5"/>
      <c r="AO36" s="5"/>
      <c r="AP36" s="5"/>
      <c r="AQ36" s="5"/>
      <c r="AY36" s="5"/>
      <c r="AZ36" s="5"/>
      <c r="BA36" s="5"/>
      <c r="BB36" s="5"/>
      <c r="BC36" s="5"/>
      <c r="BD36" s="5"/>
      <c r="BE36" s="5"/>
      <c r="BF36" s="5"/>
      <c r="BG36" s="5"/>
      <c r="BH36" s="5"/>
      <c r="BI36" s="5"/>
      <c r="BJ36" s="5"/>
      <c r="BK36" s="5"/>
      <c r="BL36" s="5"/>
      <c r="BM36" s="5"/>
      <c r="BN36" s="5"/>
    </row>
    <row r="37" spans="1:66" x14ac:dyDescent="0.2">
      <c r="A37" s="14">
        <v>35</v>
      </c>
      <c r="B37" s="15">
        <v>3.1165189405645277</v>
      </c>
      <c r="AH37" s="5"/>
      <c r="AI37" s="5"/>
      <c r="AJ37" s="5"/>
      <c r="AK37" s="5">
        <v>-1</v>
      </c>
      <c r="AL37" s="5">
        <v>136</v>
      </c>
      <c r="AM37" s="5"/>
      <c r="AN37" s="5"/>
      <c r="AO37" s="5"/>
      <c r="AP37" s="5"/>
      <c r="AQ37" s="5"/>
      <c r="AY37" s="5"/>
      <c r="AZ37" s="5"/>
      <c r="BA37" s="5"/>
      <c r="BB37" s="5"/>
      <c r="BC37" s="5"/>
      <c r="BD37" s="5"/>
      <c r="BE37" s="5"/>
      <c r="BF37" s="5"/>
      <c r="BG37" s="5"/>
      <c r="BH37" s="5"/>
      <c r="BI37" s="5"/>
      <c r="BJ37" s="5"/>
      <c r="BK37" s="5"/>
      <c r="BL37" s="5"/>
      <c r="BM37" s="5"/>
      <c r="BN37" s="5"/>
    </row>
    <row r="38" spans="1:66" x14ac:dyDescent="0.2">
      <c r="A38" s="14">
        <v>36</v>
      </c>
      <c r="B38" s="15">
        <v>0.94066453741696976</v>
      </c>
      <c r="AH38" s="5"/>
      <c r="AI38" s="5"/>
      <c r="AJ38" s="5"/>
      <c r="AK38" s="5">
        <v>-0.5</v>
      </c>
      <c r="AL38" s="5">
        <v>136</v>
      </c>
      <c r="AM38" s="5"/>
      <c r="AN38" s="5"/>
      <c r="AO38" s="5"/>
      <c r="AP38" s="5"/>
      <c r="AQ38" s="5"/>
      <c r="AY38" s="5"/>
      <c r="AZ38" s="5"/>
      <c r="BA38" s="5"/>
      <c r="BB38" s="5"/>
      <c r="BC38" s="5"/>
      <c r="BD38" s="5"/>
      <c r="BE38" s="5"/>
      <c r="BF38" s="5"/>
      <c r="BG38" s="5"/>
      <c r="BH38" s="5"/>
      <c r="BI38" s="5"/>
      <c r="BJ38" s="5"/>
      <c r="BK38" s="5"/>
      <c r="BL38" s="5"/>
      <c r="BM38" s="5"/>
      <c r="BN38" s="5"/>
    </row>
    <row r="39" spans="1:66" x14ac:dyDescent="0.2">
      <c r="A39" s="14">
        <v>37</v>
      </c>
      <c r="B39" s="15">
        <v>0.3661792968890113</v>
      </c>
      <c r="AH39" s="5"/>
      <c r="AI39" s="5"/>
      <c r="AJ39" s="5"/>
      <c r="AK39" s="5">
        <v>-0.5</v>
      </c>
      <c r="AL39" s="5">
        <v>199</v>
      </c>
      <c r="AM39" s="5"/>
      <c r="AN39" s="5"/>
      <c r="AO39" s="5"/>
      <c r="AP39" s="5"/>
      <c r="AQ39" s="5"/>
      <c r="AY39" s="5"/>
      <c r="AZ39" s="5"/>
      <c r="BA39" s="5"/>
      <c r="BB39" s="5"/>
      <c r="BC39" s="5"/>
      <c r="BD39" s="5"/>
      <c r="BE39" s="5"/>
      <c r="BF39" s="5"/>
      <c r="BG39" s="5"/>
      <c r="BH39" s="5"/>
      <c r="BI39" s="5"/>
      <c r="BJ39" s="5"/>
      <c r="BK39" s="5"/>
      <c r="BL39" s="5"/>
      <c r="BM39" s="5"/>
      <c r="BN39" s="5"/>
    </row>
    <row r="40" spans="1:66" x14ac:dyDescent="0.2">
      <c r="A40" s="14">
        <v>38</v>
      </c>
      <c r="B40" s="15">
        <v>-0.33962025987548794</v>
      </c>
      <c r="AH40" s="5"/>
      <c r="AI40" s="5"/>
      <c r="AJ40" s="5"/>
      <c r="AK40" s="5">
        <v>0</v>
      </c>
      <c r="AL40" s="5">
        <v>199</v>
      </c>
      <c r="AM40" s="5"/>
      <c r="AN40" s="5"/>
      <c r="AO40" s="5"/>
      <c r="AP40" s="5"/>
      <c r="AQ40" s="5"/>
      <c r="AY40" s="5"/>
      <c r="AZ40" s="5"/>
      <c r="BA40" s="5"/>
      <c r="BB40" s="5"/>
      <c r="BC40" s="5"/>
      <c r="BD40" s="5"/>
      <c r="BE40" s="5"/>
      <c r="BF40" s="5"/>
      <c r="BG40" s="5"/>
      <c r="BH40" s="5"/>
      <c r="BI40" s="5"/>
      <c r="BJ40" s="5"/>
      <c r="BK40" s="5"/>
      <c r="BL40" s="5"/>
      <c r="BM40" s="5"/>
      <c r="BN40" s="5"/>
    </row>
    <row r="41" spans="1:66" x14ac:dyDescent="0.2">
      <c r="A41" s="14">
        <v>39</v>
      </c>
      <c r="B41" s="15">
        <v>1.6887329226527072</v>
      </c>
      <c r="AH41" s="5"/>
      <c r="AI41" s="5"/>
      <c r="AJ41" s="5"/>
      <c r="AK41" s="5">
        <v>0</v>
      </c>
      <c r="AL41" s="5">
        <v>174</v>
      </c>
      <c r="AM41" s="5"/>
      <c r="AN41" s="5"/>
      <c r="AO41" s="5"/>
      <c r="AP41" s="5"/>
      <c r="AQ41" s="5"/>
      <c r="AY41" s="5"/>
      <c r="AZ41" s="5"/>
      <c r="BA41" s="5"/>
      <c r="BB41" s="5"/>
      <c r="BC41" s="5"/>
      <c r="BD41" s="5"/>
      <c r="BE41" s="5"/>
      <c r="BF41" s="5"/>
      <c r="BG41" s="5"/>
      <c r="BH41" s="5"/>
      <c r="BI41" s="5"/>
      <c r="BJ41" s="5"/>
      <c r="BK41" s="5"/>
      <c r="BL41" s="5"/>
      <c r="BM41" s="5"/>
      <c r="BN41" s="5"/>
    </row>
    <row r="42" spans="1:66" x14ac:dyDescent="0.2">
      <c r="A42" s="14">
        <v>40</v>
      </c>
      <c r="B42" s="15">
        <v>-3.1688345476786034E-2</v>
      </c>
      <c r="AH42" s="5"/>
      <c r="AI42" s="5"/>
      <c r="AJ42" s="5"/>
      <c r="AK42" s="5">
        <v>0.5</v>
      </c>
      <c r="AL42" s="5">
        <v>174</v>
      </c>
      <c r="AM42" s="5"/>
      <c r="AN42" s="5"/>
      <c r="AO42" s="5"/>
      <c r="AP42" s="5"/>
      <c r="AQ42" s="5"/>
      <c r="AY42" s="5"/>
      <c r="AZ42" s="5"/>
      <c r="BA42" s="5"/>
      <c r="BB42" s="5"/>
      <c r="BC42" s="5"/>
      <c r="BD42" s="5"/>
      <c r="BE42" s="5"/>
      <c r="BF42" s="5"/>
      <c r="BG42" s="5"/>
      <c r="BH42" s="5"/>
      <c r="BI42" s="5"/>
      <c r="BJ42" s="5"/>
      <c r="BK42" s="5"/>
      <c r="BL42" s="5"/>
      <c r="BM42" s="5"/>
      <c r="BN42" s="5"/>
    </row>
    <row r="43" spans="1:66" x14ac:dyDescent="0.2">
      <c r="A43" s="14">
        <v>41</v>
      </c>
      <c r="B43" s="15">
        <v>0.51900973662417782</v>
      </c>
      <c r="AH43" s="5"/>
      <c r="AI43" s="5"/>
      <c r="AJ43" s="5"/>
      <c r="AK43" s="5">
        <v>0.5</v>
      </c>
      <c r="AL43" s="5">
        <v>127</v>
      </c>
      <c r="AM43" s="5"/>
      <c r="AN43" s="5"/>
      <c r="AO43" s="5"/>
      <c r="AP43" s="5"/>
      <c r="AQ43" s="5"/>
      <c r="AY43" s="5"/>
      <c r="AZ43" s="5"/>
      <c r="BA43" s="5"/>
      <c r="BB43" s="5"/>
      <c r="BC43" s="5"/>
      <c r="BD43" s="5"/>
      <c r="BE43" s="5"/>
      <c r="BF43" s="5"/>
      <c r="BG43" s="5"/>
      <c r="BH43" s="5"/>
      <c r="BI43" s="5"/>
      <c r="BJ43" s="5"/>
      <c r="BK43" s="5"/>
      <c r="BL43" s="5"/>
      <c r="BM43" s="5"/>
      <c r="BN43" s="5"/>
    </row>
    <row r="44" spans="1:66" x14ac:dyDescent="0.2">
      <c r="A44" s="14">
        <v>42</v>
      </c>
      <c r="B44" s="15">
        <v>-0.54559571650932681</v>
      </c>
      <c r="AH44" s="5"/>
      <c r="AI44" s="5"/>
      <c r="AJ44" s="5"/>
      <c r="AK44" s="5">
        <v>1</v>
      </c>
      <c r="AL44" s="5">
        <v>127</v>
      </c>
      <c r="AM44" s="5"/>
      <c r="AN44" s="5"/>
      <c r="AO44" s="5"/>
      <c r="AP44" s="5"/>
      <c r="AQ44" s="5"/>
      <c r="AY44" s="5"/>
      <c r="AZ44" s="5"/>
      <c r="BA44" s="5"/>
      <c r="BB44" s="5"/>
      <c r="BC44" s="5"/>
      <c r="BD44" s="5"/>
      <c r="BE44" s="5"/>
      <c r="BF44" s="5"/>
      <c r="BG44" s="5"/>
      <c r="BH44" s="5"/>
      <c r="BI44" s="5"/>
      <c r="BJ44" s="5"/>
      <c r="BK44" s="5"/>
      <c r="BL44" s="5"/>
      <c r="BM44" s="5"/>
      <c r="BN44" s="5"/>
    </row>
    <row r="45" spans="1:66" x14ac:dyDescent="0.2">
      <c r="A45" s="14">
        <v>43</v>
      </c>
      <c r="B45" s="15">
        <v>-1.0976238725064018</v>
      </c>
      <c r="AH45" s="5"/>
      <c r="AI45" s="5"/>
      <c r="AJ45" s="5"/>
      <c r="AK45" s="5">
        <v>1</v>
      </c>
      <c r="AL45" s="5">
        <v>71</v>
      </c>
      <c r="AM45" s="5"/>
      <c r="AN45" s="5"/>
      <c r="AO45" s="5"/>
      <c r="AP45" s="5"/>
      <c r="AQ45" s="5"/>
      <c r="AY45" s="5"/>
      <c r="AZ45" s="5"/>
      <c r="BA45" s="5"/>
      <c r="BB45" s="5"/>
      <c r="BC45" s="5"/>
      <c r="BD45" s="5"/>
      <c r="BE45" s="5"/>
      <c r="BF45" s="5"/>
      <c r="BG45" s="5"/>
      <c r="BH45" s="5"/>
      <c r="BI45" s="5"/>
      <c r="BJ45" s="5"/>
      <c r="BK45" s="5"/>
      <c r="BL45" s="5"/>
      <c r="BM45" s="5"/>
      <c r="BN45" s="5"/>
    </row>
    <row r="46" spans="1:66" x14ac:dyDescent="0.2">
      <c r="A46" s="14">
        <v>44</v>
      </c>
      <c r="B46" s="15">
        <v>0.70708025202960656</v>
      </c>
      <c r="AH46" s="5"/>
      <c r="AI46" s="5"/>
      <c r="AJ46" s="5"/>
      <c r="AK46" s="5">
        <v>1.5</v>
      </c>
      <c r="AL46" s="5">
        <v>71</v>
      </c>
      <c r="AM46" s="5"/>
      <c r="AN46" s="5"/>
      <c r="AO46" s="5"/>
      <c r="AP46" s="5"/>
      <c r="AQ46" s="5"/>
      <c r="AY46" s="5"/>
      <c r="AZ46" s="5"/>
      <c r="BA46" s="5"/>
      <c r="BB46" s="5"/>
      <c r="BC46" s="5"/>
      <c r="BD46" s="5"/>
      <c r="BE46" s="5"/>
      <c r="BF46" s="5"/>
      <c r="BG46" s="5"/>
      <c r="BH46" s="5"/>
      <c r="BI46" s="5"/>
      <c r="BJ46" s="5"/>
      <c r="BK46" s="5"/>
      <c r="BL46" s="5"/>
      <c r="BM46" s="5"/>
      <c r="BN46" s="5"/>
    </row>
    <row r="47" spans="1:66" x14ac:dyDescent="0.2">
      <c r="A47" s="14">
        <v>45</v>
      </c>
      <c r="B47" s="15">
        <v>0.68067218138768848</v>
      </c>
      <c r="AH47" s="5"/>
      <c r="AI47" s="5"/>
      <c r="AJ47" s="5"/>
      <c r="AK47" s="5">
        <v>1.5</v>
      </c>
      <c r="AL47" s="5">
        <v>48</v>
      </c>
      <c r="AM47" s="5"/>
      <c r="AN47" s="5"/>
      <c r="AO47" s="5"/>
      <c r="AP47" s="5"/>
      <c r="AQ47" s="5"/>
      <c r="AY47" s="5"/>
      <c r="AZ47" s="5"/>
      <c r="BA47" s="5"/>
      <c r="BB47" s="5"/>
      <c r="BC47" s="5"/>
      <c r="BD47" s="5"/>
      <c r="BE47" s="5"/>
      <c r="BF47" s="5"/>
      <c r="BG47" s="5"/>
      <c r="BH47" s="5"/>
      <c r="BI47" s="5"/>
      <c r="BJ47" s="5"/>
      <c r="BK47" s="5"/>
      <c r="BL47" s="5"/>
      <c r="BM47" s="5"/>
      <c r="BN47" s="5"/>
    </row>
    <row r="48" spans="1:66" x14ac:dyDescent="0.2">
      <c r="A48" s="14">
        <v>46</v>
      </c>
      <c r="B48" s="15">
        <v>1.6459620307602609</v>
      </c>
      <c r="AH48" s="5"/>
      <c r="AI48" s="5"/>
      <c r="AJ48" s="5"/>
      <c r="AK48" s="5">
        <v>2</v>
      </c>
      <c r="AL48" s="5">
        <v>48</v>
      </c>
      <c r="AM48" s="5"/>
      <c r="AN48" s="5"/>
      <c r="AO48" s="5"/>
      <c r="AP48" s="5"/>
      <c r="AQ48" s="5"/>
      <c r="AY48" s="5"/>
      <c r="AZ48" s="5"/>
      <c r="BA48" s="5"/>
      <c r="BB48" s="5"/>
      <c r="BC48" s="5"/>
      <c r="BD48" s="5"/>
      <c r="BE48" s="5"/>
      <c r="BF48" s="5"/>
      <c r="BG48" s="5"/>
      <c r="BH48" s="5"/>
      <c r="BI48" s="5"/>
      <c r="BJ48" s="5"/>
      <c r="BK48" s="5"/>
      <c r="BL48" s="5"/>
      <c r="BM48" s="5"/>
      <c r="BN48" s="5"/>
    </row>
    <row r="49" spans="1:66" x14ac:dyDescent="0.2">
      <c r="A49" s="14">
        <v>47</v>
      </c>
      <c r="B49" s="15">
        <v>-1.5254046902720821</v>
      </c>
      <c r="AH49" s="5"/>
      <c r="AI49" s="5"/>
      <c r="AJ49" s="5"/>
      <c r="AK49" s="5">
        <v>2</v>
      </c>
      <c r="AL49" s="5">
        <v>21</v>
      </c>
      <c r="AM49" s="5"/>
      <c r="AN49" s="5"/>
      <c r="AO49" s="5"/>
      <c r="AP49" s="5"/>
      <c r="AQ49" s="5"/>
      <c r="AY49" s="5"/>
      <c r="AZ49" s="5"/>
      <c r="BA49" s="5"/>
      <c r="BB49" s="5"/>
      <c r="BC49" s="5"/>
      <c r="BD49" s="5"/>
      <c r="BE49" s="5"/>
      <c r="BF49" s="5"/>
      <c r="BG49" s="5"/>
      <c r="BH49" s="5"/>
      <c r="BI49" s="5"/>
      <c r="BJ49" s="5"/>
      <c r="BK49" s="5"/>
      <c r="BL49" s="5"/>
      <c r="BM49" s="5"/>
      <c r="BN49" s="5"/>
    </row>
    <row r="50" spans="1:66" x14ac:dyDescent="0.2">
      <c r="A50" s="14">
        <v>48</v>
      </c>
      <c r="B50" s="15">
        <v>1.6401065603124501</v>
      </c>
      <c r="AH50" s="5"/>
      <c r="AI50" s="5"/>
      <c r="AJ50" s="5"/>
      <c r="AK50" s="5">
        <v>2.5</v>
      </c>
      <c r="AL50" s="5">
        <v>21</v>
      </c>
      <c r="AM50" s="5"/>
      <c r="AN50" s="5"/>
      <c r="AO50" s="5"/>
      <c r="AP50" s="5"/>
      <c r="AQ50" s="5"/>
      <c r="AY50" s="5"/>
      <c r="AZ50" s="5"/>
      <c r="BA50" s="5"/>
      <c r="BB50" s="5"/>
      <c r="BC50" s="5"/>
      <c r="BD50" s="5"/>
      <c r="BE50" s="5"/>
      <c r="BF50" s="5"/>
      <c r="BG50" s="5"/>
      <c r="BH50" s="5"/>
      <c r="BI50" s="5"/>
      <c r="BJ50" s="5"/>
      <c r="BK50" s="5"/>
      <c r="BL50" s="5"/>
      <c r="BM50" s="5"/>
      <c r="BN50" s="5"/>
    </row>
    <row r="51" spans="1:66" x14ac:dyDescent="0.2">
      <c r="A51" s="14">
        <v>49</v>
      </c>
      <c r="B51" s="15">
        <v>1.0206525919050167</v>
      </c>
      <c r="AH51" s="5"/>
      <c r="AI51" s="5"/>
      <c r="AJ51" s="5"/>
      <c r="AK51" s="5">
        <v>2.5</v>
      </c>
      <c r="AL51" s="5">
        <v>11</v>
      </c>
      <c r="AM51" s="5"/>
      <c r="AN51" s="5"/>
      <c r="AO51" s="5"/>
      <c r="AP51" s="5"/>
      <c r="AQ51" s="5"/>
      <c r="AY51" s="5"/>
      <c r="AZ51" s="5"/>
      <c r="BA51" s="5"/>
      <c r="BB51" s="5"/>
      <c r="BC51" s="5"/>
      <c r="BD51" s="5"/>
      <c r="BE51" s="5"/>
      <c r="BF51" s="5"/>
      <c r="BG51" s="5"/>
      <c r="BH51" s="5"/>
      <c r="BI51" s="5"/>
      <c r="BJ51" s="5"/>
      <c r="BK51" s="5"/>
      <c r="BL51" s="5"/>
      <c r="BM51" s="5"/>
      <c r="BN51" s="5"/>
    </row>
    <row r="52" spans="1:66" x14ac:dyDescent="0.2">
      <c r="A52" s="14">
        <v>50</v>
      </c>
      <c r="B52" s="15">
        <v>2.1572536108861762</v>
      </c>
      <c r="AH52" s="5"/>
      <c r="AI52" s="5"/>
      <c r="AJ52" s="5"/>
      <c r="AK52" s="5">
        <v>3</v>
      </c>
      <c r="AL52" s="5">
        <v>11</v>
      </c>
      <c r="AM52" s="5"/>
      <c r="AN52" s="5"/>
      <c r="AO52" s="5"/>
      <c r="AP52" s="5"/>
      <c r="AQ52" s="5"/>
      <c r="AY52" s="5"/>
      <c r="AZ52" s="5"/>
      <c r="BA52" s="5"/>
      <c r="BB52" s="5"/>
      <c r="BC52" s="5"/>
      <c r="BD52" s="5"/>
      <c r="BE52" s="5"/>
      <c r="BF52" s="5"/>
      <c r="BG52" s="5"/>
      <c r="BH52" s="5"/>
      <c r="BI52" s="5"/>
      <c r="BJ52" s="5"/>
      <c r="BK52" s="5"/>
      <c r="BL52" s="5"/>
      <c r="BM52" s="5"/>
      <c r="BN52" s="5"/>
    </row>
    <row r="53" spans="1:66" x14ac:dyDescent="0.2">
      <c r="A53" s="14">
        <v>51</v>
      </c>
      <c r="B53" s="15">
        <v>2.0098681953737976</v>
      </c>
      <c r="AH53" s="5"/>
      <c r="AI53" s="5"/>
      <c r="AJ53" s="5"/>
      <c r="AK53" s="5">
        <v>3</v>
      </c>
      <c r="AL53" s="5">
        <v>10</v>
      </c>
      <c r="AM53" s="5"/>
      <c r="AN53" s="5"/>
      <c r="AO53" s="5"/>
      <c r="AP53" s="5"/>
      <c r="AQ53" s="5"/>
      <c r="AY53" s="5"/>
      <c r="AZ53" s="5"/>
      <c r="BA53" s="5"/>
      <c r="BB53" s="5"/>
      <c r="BC53" s="5"/>
      <c r="BD53" s="5"/>
      <c r="BE53" s="5"/>
      <c r="BF53" s="5"/>
      <c r="BG53" s="5"/>
      <c r="BH53" s="5"/>
      <c r="BI53" s="5"/>
      <c r="BJ53" s="5"/>
      <c r="BK53" s="5"/>
      <c r="BL53" s="5"/>
      <c r="BM53" s="5"/>
      <c r="BN53" s="5"/>
    </row>
    <row r="54" spans="1:66" x14ac:dyDescent="0.2">
      <c r="A54" s="14">
        <v>52</v>
      </c>
      <c r="B54" s="15">
        <v>6.5689479455609934E-2</v>
      </c>
      <c r="AH54" s="5"/>
      <c r="AI54" s="5"/>
      <c r="AJ54" s="5"/>
      <c r="AK54" s="5">
        <v>3.5</v>
      </c>
      <c r="AL54" s="5">
        <v>10</v>
      </c>
      <c r="AM54" s="5"/>
      <c r="AN54" s="5"/>
      <c r="AO54" s="5"/>
      <c r="AP54" s="5"/>
      <c r="AQ54" s="5"/>
      <c r="AY54" s="5"/>
      <c r="AZ54" s="5"/>
      <c r="BA54" s="5"/>
      <c r="BB54" s="5"/>
      <c r="BC54" s="5"/>
      <c r="BD54" s="5"/>
      <c r="BE54" s="5"/>
      <c r="BF54" s="5"/>
      <c r="BG54" s="5"/>
      <c r="BH54" s="5"/>
      <c r="BI54" s="5"/>
      <c r="BJ54" s="5"/>
      <c r="BK54" s="5"/>
      <c r="BL54" s="5"/>
      <c r="BM54" s="5"/>
      <c r="BN54" s="5"/>
    </row>
    <row r="55" spans="1:66" x14ac:dyDescent="0.2">
      <c r="A55" s="14">
        <v>53</v>
      </c>
      <c r="B55" s="15">
        <v>0.56545164371803536</v>
      </c>
      <c r="AH55" s="5"/>
      <c r="AI55" s="5"/>
      <c r="AJ55" s="5"/>
      <c r="AK55" s="5">
        <v>3.5</v>
      </c>
      <c r="AL55" s="5">
        <v>6</v>
      </c>
      <c r="AM55" s="5"/>
      <c r="AN55" s="5"/>
      <c r="AO55" s="5"/>
      <c r="AP55" s="5"/>
      <c r="AQ55" s="5"/>
      <c r="AY55" s="5"/>
      <c r="AZ55" s="5"/>
      <c r="BA55" s="5"/>
      <c r="BB55" s="5"/>
      <c r="BC55" s="5"/>
      <c r="BD55" s="5"/>
      <c r="BE55" s="5"/>
      <c r="BF55" s="5"/>
      <c r="BG55" s="5"/>
      <c r="BH55" s="5"/>
      <c r="BI55" s="5"/>
      <c r="BJ55" s="5"/>
      <c r="BK55" s="5"/>
      <c r="BL55" s="5"/>
      <c r="BM55" s="5"/>
      <c r="BN55" s="5"/>
    </row>
    <row r="56" spans="1:66" x14ac:dyDescent="0.2">
      <c r="A56" s="14">
        <v>54</v>
      </c>
      <c r="B56" s="15">
        <v>-0.55330520512638515</v>
      </c>
      <c r="AH56" s="5"/>
      <c r="AI56" s="5"/>
      <c r="AJ56" s="5"/>
      <c r="AK56" s="5">
        <v>4</v>
      </c>
      <c r="AL56" s="5">
        <v>6</v>
      </c>
      <c r="AM56" s="5"/>
      <c r="AN56" s="5"/>
      <c r="AO56" s="5"/>
      <c r="AP56" s="5"/>
      <c r="AQ56" s="5"/>
      <c r="AY56" s="5"/>
      <c r="AZ56" s="5"/>
      <c r="BA56" s="5"/>
      <c r="BB56" s="5"/>
      <c r="BC56" s="5"/>
      <c r="BD56" s="5"/>
      <c r="BE56" s="5"/>
      <c r="BF56" s="5"/>
      <c r="BG56" s="5"/>
      <c r="BH56" s="5"/>
      <c r="BI56" s="5"/>
      <c r="BJ56" s="5"/>
      <c r="BK56" s="5"/>
      <c r="BL56" s="5"/>
      <c r="BM56" s="5"/>
      <c r="BN56" s="5"/>
    </row>
    <row r="57" spans="1:66" x14ac:dyDescent="0.2">
      <c r="A57" s="14">
        <v>55</v>
      </c>
      <c r="B57" s="15">
        <v>9.9049589796926962E-2</v>
      </c>
      <c r="AH57" s="5"/>
      <c r="AI57" s="5"/>
      <c r="AJ57" s="5"/>
      <c r="AK57" s="5">
        <v>4</v>
      </c>
      <c r="AL57" s="5">
        <v>3</v>
      </c>
      <c r="AM57" s="5"/>
      <c r="AN57" s="5"/>
      <c r="AO57" s="5"/>
      <c r="AP57" s="5"/>
      <c r="AQ57" s="5"/>
      <c r="AY57" s="5"/>
      <c r="AZ57" s="5"/>
      <c r="BA57" s="5"/>
      <c r="BB57" s="5"/>
      <c r="BC57" s="5"/>
      <c r="BD57" s="5"/>
      <c r="BE57" s="5"/>
      <c r="BF57" s="5"/>
      <c r="BG57" s="5"/>
      <c r="BH57" s="5"/>
      <c r="BI57" s="5"/>
      <c r="BJ57" s="5"/>
      <c r="BK57" s="5"/>
      <c r="BL57" s="5"/>
      <c r="BM57" s="5"/>
      <c r="BN57" s="5"/>
    </row>
    <row r="58" spans="1:66" x14ac:dyDescent="0.2">
      <c r="A58" s="14">
        <v>56</v>
      </c>
      <c r="B58" s="15">
        <v>0.33298142500543876</v>
      </c>
      <c r="AH58" s="5"/>
      <c r="AI58" s="5"/>
      <c r="AJ58" s="5"/>
      <c r="AK58" s="5">
        <v>4.5</v>
      </c>
      <c r="AL58" s="5">
        <v>3</v>
      </c>
      <c r="AM58" s="5"/>
      <c r="AN58" s="5"/>
      <c r="AO58" s="5"/>
      <c r="AP58" s="5"/>
      <c r="AQ58" s="5"/>
      <c r="AY58" s="5"/>
      <c r="AZ58" s="5"/>
      <c r="BA58" s="5"/>
      <c r="BB58" s="5"/>
      <c r="BC58" s="5"/>
      <c r="BD58" s="5"/>
      <c r="BE58" s="5"/>
      <c r="BF58" s="5"/>
      <c r="BG58" s="5"/>
      <c r="BH58" s="5"/>
      <c r="BI58" s="5"/>
      <c r="BJ58" s="5"/>
      <c r="BK58" s="5"/>
      <c r="BL58" s="5"/>
      <c r="BM58" s="5"/>
      <c r="BN58" s="5"/>
    </row>
    <row r="59" spans="1:66" x14ac:dyDescent="0.2">
      <c r="A59" s="14">
        <v>57</v>
      </c>
      <c r="B59" s="15">
        <v>1.5499258248630725</v>
      </c>
      <c r="AH59" s="5"/>
      <c r="AI59" s="5"/>
      <c r="AJ59" s="5"/>
      <c r="AK59" s="5">
        <v>4.5</v>
      </c>
      <c r="AL59" s="5">
        <v>2</v>
      </c>
      <c r="AM59" s="5"/>
      <c r="AN59" s="5"/>
      <c r="AO59" s="5"/>
      <c r="AP59" s="5"/>
      <c r="AQ59" s="5"/>
      <c r="AY59" s="5"/>
      <c r="AZ59" s="5"/>
      <c r="BA59" s="5"/>
      <c r="BB59" s="5"/>
      <c r="BC59" s="5"/>
      <c r="BD59" s="5"/>
      <c r="BE59" s="5"/>
      <c r="BF59" s="5"/>
      <c r="BG59" s="5"/>
      <c r="BH59" s="5"/>
      <c r="BI59" s="5"/>
      <c r="BJ59" s="5"/>
      <c r="BK59" s="5"/>
      <c r="BL59" s="5"/>
      <c r="BM59" s="5"/>
      <c r="BN59" s="5"/>
    </row>
    <row r="60" spans="1:66" x14ac:dyDescent="0.2">
      <c r="A60" s="14">
        <v>58</v>
      </c>
      <c r="B60" s="15">
        <v>-0.61982235534670305</v>
      </c>
      <c r="AH60" s="5"/>
      <c r="AI60" s="5"/>
      <c r="AJ60" s="5"/>
      <c r="AK60" s="5">
        <v>5</v>
      </c>
      <c r="AL60" s="5">
        <v>2</v>
      </c>
      <c r="AM60" s="5"/>
      <c r="AN60" s="5"/>
      <c r="AO60" s="5"/>
      <c r="AP60" s="5"/>
      <c r="AQ60" s="5"/>
      <c r="AY60" s="5"/>
      <c r="AZ60" s="5"/>
      <c r="BA60" s="5"/>
      <c r="BB60" s="5"/>
      <c r="BC60" s="5"/>
      <c r="BD60" s="5"/>
      <c r="BE60" s="5"/>
      <c r="BF60" s="5"/>
      <c r="BG60" s="5"/>
      <c r="BH60" s="5"/>
      <c r="BI60" s="5"/>
      <c r="BJ60" s="5"/>
      <c r="BK60" s="5"/>
      <c r="BL60" s="5"/>
      <c r="BM60" s="5"/>
      <c r="BN60" s="5"/>
    </row>
    <row r="61" spans="1:66" x14ac:dyDescent="0.2">
      <c r="A61" s="14">
        <v>59</v>
      </c>
      <c r="B61" s="15">
        <v>0.94336165834486796</v>
      </c>
      <c r="AH61" s="5"/>
      <c r="AI61" s="5"/>
      <c r="AJ61" s="5"/>
      <c r="AK61" s="5">
        <v>5</v>
      </c>
      <c r="AL61" s="5">
        <v>1</v>
      </c>
      <c r="AM61" s="5"/>
      <c r="AN61" s="5"/>
      <c r="AO61" s="5"/>
      <c r="AP61" s="5"/>
      <c r="AQ61" s="5"/>
      <c r="AY61" s="5"/>
      <c r="AZ61" s="5"/>
      <c r="BA61" s="5"/>
      <c r="BB61" s="5"/>
      <c r="BC61" s="5"/>
      <c r="BD61" s="5"/>
      <c r="BE61" s="5"/>
      <c r="BF61" s="5"/>
      <c r="BG61" s="5"/>
      <c r="BH61" s="5"/>
      <c r="BI61" s="5"/>
      <c r="BJ61" s="5"/>
      <c r="BK61" s="5"/>
      <c r="BL61" s="5"/>
      <c r="BM61" s="5"/>
      <c r="BN61" s="5"/>
    </row>
    <row r="62" spans="1:66" x14ac:dyDescent="0.2">
      <c r="A62" s="14">
        <v>60</v>
      </c>
      <c r="B62" s="15">
        <v>-2.3796777432628118</v>
      </c>
      <c r="AH62" s="5"/>
      <c r="AI62" s="5"/>
      <c r="AJ62" s="5"/>
      <c r="AK62" s="5">
        <v>5.5</v>
      </c>
      <c r="AL62" s="5">
        <v>1</v>
      </c>
      <c r="AM62" s="5"/>
      <c r="AN62" s="5"/>
      <c r="AO62" s="5"/>
      <c r="AP62" s="5"/>
      <c r="AQ62" s="5"/>
      <c r="AY62" s="5"/>
      <c r="AZ62" s="5"/>
      <c r="BA62" s="5"/>
      <c r="BB62" s="5"/>
      <c r="BC62" s="5"/>
      <c r="BD62" s="5"/>
      <c r="BE62" s="5"/>
      <c r="BF62" s="5"/>
      <c r="BG62" s="5"/>
      <c r="BH62" s="5"/>
      <c r="BI62" s="5"/>
      <c r="BJ62" s="5"/>
      <c r="BK62" s="5"/>
      <c r="BL62" s="5"/>
      <c r="BM62" s="5"/>
      <c r="BN62" s="5"/>
    </row>
    <row r="63" spans="1:66" x14ac:dyDescent="0.2">
      <c r="A63" s="14">
        <v>61</v>
      </c>
      <c r="B63" s="15">
        <v>1.6991806661166047</v>
      </c>
      <c r="AH63" s="5"/>
      <c r="AI63" s="5"/>
      <c r="AJ63" s="5"/>
      <c r="AK63" s="5">
        <v>5.5</v>
      </c>
      <c r="AL63" s="5">
        <v>0</v>
      </c>
      <c r="AM63" s="5"/>
      <c r="AN63" s="5"/>
      <c r="AO63" s="5"/>
      <c r="AP63" s="5"/>
      <c r="AQ63" s="5"/>
      <c r="AY63" s="5"/>
      <c r="AZ63" s="5"/>
      <c r="BA63" s="5"/>
      <c r="BB63" s="5"/>
      <c r="BC63" s="5"/>
      <c r="BD63" s="5"/>
      <c r="BE63" s="5"/>
      <c r="BF63" s="5"/>
      <c r="BG63" s="5"/>
      <c r="BH63" s="5"/>
      <c r="BI63" s="5"/>
      <c r="BJ63" s="5"/>
      <c r="BK63" s="5"/>
      <c r="BL63" s="5"/>
      <c r="BM63" s="5"/>
      <c r="BN63" s="5"/>
    </row>
    <row r="64" spans="1:66" x14ac:dyDescent="0.2">
      <c r="A64" s="14">
        <v>62</v>
      </c>
      <c r="B64" s="15">
        <v>0.8154564879340177</v>
      </c>
      <c r="AH64" s="5"/>
      <c r="AI64" s="5"/>
      <c r="AJ64" s="5"/>
      <c r="AK64" s="5">
        <v>6</v>
      </c>
      <c r="AL64" s="5">
        <v>0</v>
      </c>
      <c r="AM64" s="5"/>
      <c r="AN64" s="5"/>
      <c r="AO64" s="5"/>
      <c r="AP64" s="5"/>
      <c r="AQ64" s="5"/>
      <c r="AY64" s="5"/>
      <c r="AZ64" s="5"/>
      <c r="BA64" s="5"/>
      <c r="BB64" s="5"/>
      <c r="BC64" s="5"/>
      <c r="BD64" s="5"/>
      <c r="BE64" s="5"/>
      <c r="BF64" s="5"/>
      <c r="BG64" s="5"/>
      <c r="BH64" s="5"/>
      <c r="BI64" s="5"/>
      <c r="BJ64" s="5"/>
      <c r="BK64" s="5"/>
      <c r="BL64" s="5"/>
      <c r="BM64" s="5"/>
      <c r="BN64" s="5"/>
    </row>
    <row r="65" spans="1:66" x14ac:dyDescent="0.2">
      <c r="A65" s="14">
        <v>63</v>
      </c>
      <c r="B65" s="15">
        <v>0.7704287809332111</v>
      </c>
      <c r="AH65" s="5"/>
      <c r="AI65" s="5"/>
      <c r="AJ65" s="5"/>
      <c r="AK65" s="5">
        <v>6</v>
      </c>
      <c r="AL65" s="5">
        <v>1</v>
      </c>
      <c r="AM65" s="5"/>
      <c r="AN65" s="5"/>
      <c r="AO65" s="5"/>
      <c r="AP65" s="5"/>
      <c r="AQ65" s="5"/>
      <c r="AY65" s="5"/>
      <c r="AZ65" s="5"/>
      <c r="BA65" s="5"/>
      <c r="BB65" s="5"/>
      <c r="BC65" s="5"/>
      <c r="BD65" s="5"/>
      <c r="BE65" s="5"/>
      <c r="BF65" s="5"/>
      <c r="BG65" s="5"/>
      <c r="BH65" s="5"/>
      <c r="BI65" s="5"/>
      <c r="BJ65" s="5"/>
      <c r="BK65" s="5"/>
      <c r="BL65" s="5"/>
      <c r="BM65" s="5"/>
      <c r="BN65" s="5"/>
    </row>
    <row r="66" spans="1:66" x14ac:dyDescent="0.2">
      <c r="A66" s="14">
        <v>64</v>
      </c>
      <c r="B66" s="15">
        <v>-1.8603926721765482</v>
      </c>
      <c r="AH66" s="5"/>
      <c r="AI66" s="5"/>
      <c r="AJ66" s="5"/>
      <c r="AK66" s="5">
        <v>6.5</v>
      </c>
      <c r="AL66" s="5">
        <v>1</v>
      </c>
      <c r="AM66" s="5"/>
      <c r="AN66" s="5"/>
      <c r="AO66" s="5"/>
      <c r="AP66" s="5"/>
      <c r="AQ66" s="5"/>
      <c r="AY66" s="5"/>
      <c r="AZ66" s="5"/>
      <c r="BA66" s="5"/>
      <c r="BB66" s="5"/>
      <c r="BC66" s="5"/>
      <c r="BD66" s="5"/>
      <c r="BE66" s="5"/>
      <c r="BF66" s="5"/>
      <c r="BG66" s="5"/>
      <c r="BH66" s="5"/>
      <c r="BI66" s="5"/>
      <c r="BJ66" s="5"/>
      <c r="BK66" s="5"/>
      <c r="BL66" s="5"/>
      <c r="BM66" s="5"/>
      <c r="BN66" s="5"/>
    </row>
    <row r="67" spans="1:66" x14ac:dyDescent="0.2">
      <c r="A67" s="14">
        <v>65</v>
      </c>
      <c r="B67" s="15">
        <v>-1.3631872599062722</v>
      </c>
      <c r="AH67" s="5"/>
      <c r="AI67" s="5"/>
      <c r="AJ67" s="5"/>
      <c r="AK67" s="5">
        <v>6.5</v>
      </c>
      <c r="AL67" s="5">
        <v>0</v>
      </c>
      <c r="AM67" s="5"/>
      <c r="AN67" s="5"/>
      <c r="AO67" s="5"/>
      <c r="AP67" s="5"/>
      <c r="AQ67" s="5"/>
      <c r="AY67" s="5"/>
      <c r="AZ67" s="5"/>
      <c r="BA67" s="5"/>
      <c r="BB67" s="5"/>
      <c r="BC67" s="5"/>
      <c r="BD67" s="5"/>
      <c r="BE67" s="5"/>
      <c r="BF67" s="5"/>
      <c r="BG67" s="5"/>
      <c r="BH67" s="5"/>
      <c r="BI67" s="5"/>
      <c r="BJ67" s="5"/>
      <c r="BK67" s="5"/>
      <c r="BL67" s="5"/>
      <c r="BM67" s="5"/>
      <c r="BN67" s="5"/>
    </row>
    <row r="68" spans="1:66" x14ac:dyDescent="0.2">
      <c r="A68" s="14">
        <v>66</v>
      </c>
      <c r="B68" s="15">
        <v>-1.3443510855316165</v>
      </c>
      <c r="AH68" s="5"/>
      <c r="AI68" s="5"/>
      <c r="AJ68" s="5"/>
      <c r="AK68" s="5"/>
      <c r="AL68" s="5"/>
      <c r="AM68" s="5"/>
      <c r="AN68" s="5"/>
      <c r="AO68" s="5"/>
      <c r="AP68" s="5"/>
      <c r="AQ68" s="5"/>
      <c r="AY68" s="5"/>
      <c r="AZ68" s="5"/>
      <c r="BA68" s="5"/>
      <c r="BB68" s="5"/>
      <c r="BC68" s="5"/>
      <c r="BD68" s="5"/>
      <c r="BE68" s="5"/>
      <c r="BF68" s="5"/>
      <c r="BG68" s="5"/>
      <c r="BH68" s="5"/>
      <c r="BI68" s="5"/>
      <c r="BJ68" s="5"/>
      <c r="BK68" s="5"/>
      <c r="BL68" s="5"/>
      <c r="BM68" s="5"/>
      <c r="BN68" s="5"/>
    </row>
    <row r="69" spans="1:66" x14ac:dyDescent="0.2">
      <c r="A69" s="14">
        <v>67</v>
      </c>
      <c r="B69" s="15">
        <v>-1.5138478229432757</v>
      </c>
      <c r="AH69" s="5"/>
      <c r="AI69" s="5"/>
      <c r="AJ69" s="5"/>
      <c r="AK69" s="5"/>
      <c r="AL69" s="5"/>
      <c r="AM69" s="5"/>
      <c r="AN69" s="5"/>
      <c r="AO69" s="5"/>
      <c r="AP69" s="5"/>
      <c r="AQ69" s="5"/>
      <c r="AY69" s="5"/>
      <c r="AZ69" s="5"/>
      <c r="BA69" s="5"/>
      <c r="BB69" s="5"/>
      <c r="BC69" s="5"/>
      <c r="BD69" s="5"/>
      <c r="BE69" s="5"/>
      <c r="BF69" s="5"/>
      <c r="BG69" s="5"/>
      <c r="BH69" s="5"/>
      <c r="BI69" s="5"/>
      <c r="BJ69" s="5"/>
      <c r="BK69" s="5"/>
      <c r="BL69" s="5"/>
      <c r="BM69" s="5"/>
      <c r="BN69" s="5"/>
    </row>
    <row r="70" spans="1:66" x14ac:dyDescent="0.2">
      <c r="A70" s="14">
        <v>68</v>
      </c>
      <c r="B70" s="15">
        <v>-0.43325533168639702</v>
      </c>
      <c r="AH70" s="5"/>
      <c r="AI70" s="5"/>
      <c r="AJ70" s="5"/>
      <c r="AK70" s="5"/>
      <c r="AL70" s="5"/>
      <c r="AM70" s="5"/>
      <c r="AN70" s="5"/>
      <c r="AO70" s="5"/>
      <c r="AP70" s="5"/>
      <c r="AQ70" s="5"/>
      <c r="AY70" s="5"/>
      <c r="AZ70" s="5"/>
      <c r="BA70" s="5"/>
      <c r="BB70" s="5"/>
      <c r="BC70" s="5"/>
      <c r="BD70" s="5"/>
      <c r="BE70" s="5"/>
      <c r="BF70" s="5"/>
      <c r="BG70" s="5"/>
      <c r="BH70" s="5"/>
      <c r="BI70" s="5"/>
      <c r="BJ70" s="5"/>
      <c r="BK70" s="5"/>
      <c r="BL70" s="5"/>
      <c r="BM70" s="5"/>
      <c r="BN70" s="5"/>
    </row>
    <row r="71" spans="1:66" x14ac:dyDescent="0.2">
      <c r="A71" s="14">
        <v>69</v>
      </c>
      <c r="B71" s="15">
        <v>-1.58052898742626</v>
      </c>
      <c r="AH71" s="5"/>
      <c r="AI71" s="5"/>
      <c r="AJ71" s="5"/>
      <c r="AK71" s="5"/>
      <c r="AL71" s="5"/>
      <c r="AM71" s="5"/>
      <c r="AN71" s="5"/>
      <c r="AO71" s="5"/>
      <c r="AP71" s="5"/>
      <c r="AQ71" s="5"/>
      <c r="AY71" s="5"/>
      <c r="AZ71" s="5"/>
      <c r="BA71" s="5"/>
      <c r="BB71" s="5"/>
      <c r="BC71" s="5"/>
      <c r="BD71" s="5"/>
      <c r="BE71" s="5"/>
      <c r="BF71" s="5"/>
      <c r="BG71" s="5"/>
      <c r="BH71" s="5"/>
      <c r="BI71" s="5"/>
      <c r="BJ71" s="5"/>
      <c r="BK71" s="5"/>
      <c r="BL71" s="5"/>
      <c r="BM71" s="5"/>
      <c r="BN71" s="5"/>
    </row>
    <row r="72" spans="1:66" x14ac:dyDescent="0.2">
      <c r="A72" s="14">
        <v>70</v>
      </c>
      <c r="B72" s="15">
        <v>-0.95604753002613363</v>
      </c>
      <c r="AH72" s="5"/>
      <c r="AI72" s="5"/>
      <c r="AJ72" s="5"/>
      <c r="AK72" s="5"/>
      <c r="AL72" s="5"/>
      <c r="AM72" s="5"/>
      <c r="AN72" s="5"/>
      <c r="AO72" s="5"/>
      <c r="AP72" s="5"/>
      <c r="AQ72" s="5"/>
      <c r="AY72" s="5"/>
      <c r="AZ72" s="5"/>
      <c r="BA72" s="5"/>
      <c r="BB72" s="5"/>
      <c r="BC72" s="5"/>
      <c r="BD72" s="5"/>
      <c r="BE72" s="5"/>
      <c r="BF72" s="5"/>
      <c r="BG72" s="5"/>
      <c r="BH72" s="5"/>
      <c r="BI72" s="5"/>
      <c r="BJ72" s="5"/>
      <c r="BK72" s="5"/>
      <c r="BL72" s="5"/>
      <c r="BM72" s="5"/>
      <c r="BN72" s="5"/>
    </row>
    <row r="73" spans="1:66" x14ac:dyDescent="0.2">
      <c r="A73" s="14">
        <v>71</v>
      </c>
      <c r="B73" s="15">
        <v>2.1690879063197968</v>
      </c>
      <c r="AH73" s="5"/>
      <c r="AI73" s="5"/>
      <c r="AJ73" s="5"/>
      <c r="AK73" s="5"/>
      <c r="AL73" s="5"/>
      <c r="AM73" s="5"/>
      <c r="AN73" s="5"/>
      <c r="AO73" s="5"/>
      <c r="AP73" s="5"/>
      <c r="AQ73" s="5"/>
      <c r="AY73" s="5"/>
      <c r="AZ73" s="5"/>
      <c r="BA73" s="5"/>
      <c r="BB73" s="5"/>
      <c r="BC73" s="5"/>
      <c r="BD73" s="5"/>
      <c r="BE73" s="5"/>
      <c r="BF73" s="5"/>
      <c r="BG73" s="5"/>
      <c r="BH73" s="5"/>
      <c r="BI73" s="5"/>
      <c r="BJ73" s="5"/>
      <c r="BK73" s="5"/>
      <c r="BL73" s="5"/>
      <c r="BM73" s="5"/>
      <c r="BN73" s="5"/>
    </row>
    <row r="74" spans="1:66" x14ac:dyDescent="0.2">
      <c r="A74" s="14">
        <v>72</v>
      </c>
      <c r="B74" s="15">
        <v>1.2322606623142147</v>
      </c>
      <c r="AH74" s="5"/>
      <c r="AI74" s="5"/>
      <c r="AJ74" s="5"/>
      <c r="AK74" s="5"/>
      <c r="AL74" s="5"/>
      <c r="AM74" s="5"/>
      <c r="AN74" s="5"/>
      <c r="AO74" s="5"/>
      <c r="AP74" s="5"/>
      <c r="AQ74" s="5"/>
      <c r="AY74" s="5"/>
      <c r="AZ74" s="5"/>
      <c r="BA74" s="5"/>
      <c r="BB74" s="5"/>
      <c r="BC74" s="5"/>
      <c r="BD74" s="5"/>
      <c r="BE74" s="5"/>
      <c r="BF74" s="5"/>
      <c r="BG74" s="5"/>
      <c r="BH74" s="5"/>
      <c r="BI74" s="5"/>
      <c r="BJ74" s="5"/>
      <c r="BK74" s="5"/>
      <c r="BL74" s="5"/>
      <c r="BM74" s="5"/>
      <c r="BN74" s="5"/>
    </row>
    <row r="75" spans="1:66" x14ac:dyDescent="0.2">
      <c r="A75" s="14">
        <v>73</v>
      </c>
      <c r="B75" s="15">
        <v>1.5777437476788241</v>
      </c>
      <c r="AH75" s="5"/>
      <c r="AI75" s="5"/>
      <c r="AJ75" s="5"/>
      <c r="AK75" s="5"/>
      <c r="AL75" s="5"/>
      <c r="AM75" s="5"/>
      <c r="AN75" s="5"/>
      <c r="AO75" s="5"/>
      <c r="AP75" s="5"/>
      <c r="AQ75" s="5"/>
      <c r="AY75" s="5"/>
      <c r="AZ75" s="5"/>
      <c r="BA75" s="5"/>
      <c r="BB75" s="5"/>
      <c r="BC75" s="5"/>
      <c r="BD75" s="5"/>
      <c r="BE75" s="5"/>
      <c r="BF75" s="5"/>
      <c r="BG75" s="5"/>
      <c r="BH75" s="5"/>
      <c r="BI75" s="5"/>
      <c r="BJ75" s="5"/>
      <c r="BK75" s="5"/>
      <c r="BL75" s="5"/>
      <c r="BM75" s="5"/>
      <c r="BN75" s="5"/>
    </row>
    <row r="76" spans="1:66" x14ac:dyDescent="0.2">
      <c r="A76" s="14">
        <v>74</v>
      </c>
      <c r="B76" s="15">
        <v>1.3558648514884273</v>
      </c>
      <c r="AH76" s="5"/>
      <c r="AI76" s="5"/>
      <c r="AJ76" s="5"/>
      <c r="AK76" s="5"/>
      <c r="AL76" s="5"/>
      <c r="AM76" s="5"/>
      <c r="AN76" s="5"/>
      <c r="AO76" s="5"/>
      <c r="AP76" s="5"/>
      <c r="AQ76" s="5"/>
      <c r="AY76" s="5"/>
      <c r="AZ76" s="5"/>
      <c r="BA76" s="5"/>
      <c r="BB76" s="5"/>
      <c r="BC76" s="5"/>
      <c r="BD76" s="5"/>
      <c r="BE76" s="5"/>
      <c r="BF76" s="5"/>
      <c r="BG76" s="5"/>
      <c r="BH76" s="5"/>
      <c r="BI76" s="5"/>
      <c r="BJ76" s="5"/>
      <c r="BK76" s="5"/>
      <c r="BL76" s="5"/>
      <c r="BM76" s="5"/>
      <c r="BN76" s="5"/>
    </row>
    <row r="77" spans="1:66" x14ac:dyDescent="0.2">
      <c r="A77" s="14">
        <v>75</v>
      </c>
      <c r="B77" s="15">
        <v>-0.94579697639937177</v>
      </c>
      <c r="AH77" s="5"/>
      <c r="AI77" s="5"/>
      <c r="AJ77" s="5"/>
      <c r="AK77" s="5"/>
      <c r="AL77" s="5"/>
      <c r="AM77" s="5"/>
      <c r="AN77" s="5"/>
      <c r="AO77" s="5"/>
      <c r="AP77" s="5"/>
      <c r="AQ77" s="5"/>
      <c r="AY77" s="5"/>
      <c r="AZ77" s="5"/>
      <c r="BA77" s="5"/>
      <c r="BB77" s="5"/>
      <c r="BC77" s="5"/>
      <c r="BD77" s="5"/>
      <c r="BE77" s="5"/>
      <c r="BF77" s="5"/>
      <c r="BG77" s="5"/>
      <c r="BH77" s="5"/>
      <c r="BI77" s="5"/>
      <c r="BJ77" s="5"/>
      <c r="BK77" s="5"/>
      <c r="BL77" s="5"/>
      <c r="BM77" s="5"/>
      <c r="BN77" s="5"/>
    </row>
    <row r="78" spans="1:66" x14ac:dyDescent="0.2">
      <c r="A78" s="14">
        <v>76</v>
      </c>
      <c r="B78" s="15">
        <v>-0.20571187793783011</v>
      </c>
      <c r="AH78" s="5"/>
      <c r="AI78" s="5"/>
      <c r="AJ78" s="5"/>
      <c r="AK78" s="5"/>
      <c r="AL78" s="5"/>
      <c r="AM78" s="5"/>
      <c r="AN78" s="5"/>
      <c r="AO78" s="5"/>
      <c r="AP78" s="5"/>
      <c r="AQ78" s="5"/>
      <c r="AY78" s="5"/>
      <c r="AZ78" s="5"/>
      <c r="BA78" s="5"/>
      <c r="BB78" s="5"/>
      <c r="BC78" s="5"/>
      <c r="BD78" s="5"/>
      <c r="BE78" s="5"/>
      <c r="BF78" s="5"/>
      <c r="BG78" s="5"/>
      <c r="BH78" s="5"/>
      <c r="BI78" s="5"/>
      <c r="BJ78" s="5"/>
      <c r="BK78" s="5"/>
      <c r="BL78" s="5"/>
      <c r="BM78" s="5"/>
      <c r="BN78" s="5"/>
    </row>
    <row r="79" spans="1:66" x14ac:dyDescent="0.2">
      <c r="A79" s="14">
        <v>77</v>
      </c>
      <c r="B79" s="15">
        <v>-0.96807562046077122</v>
      </c>
      <c r="AH79" s="5"/>
      <c r="AI79" s="5"/>
      <c r="AJ79" s="5"/>
      <c r="AK79" s="5"/>
      <c r="AL79" s="5"/>
      <c r="AM79" s="5"/>
      <c r="AN79" s="5"/>
      <c r="AO79" s="5"/>
      <c r="AP79" s="5"/>
      <c r="AQ79" s="5"/>
      <c r="AY79" s="5"/>
      <c r="AZ79" s="5"/>
      <c r="BA79" s="5"/>
      <c r="BB79" s="5"/>
      <c r="BC79" s="5"/>
      <c r="BD79" s="5"/>
      <c r="BE79" s="5"/>
      <c r="BF79" s="5"/>
      <c r="BG79" s="5"/>
      <c r="BH79" s="5"/>
      <c r="BI79" s="5"/>
      <c r="BJ79" s="5"/>
      <c r="BK79" s="5"/>
      <c r="BL79" s="5"/>
      <c r="BM79" s="5"/>
      <c r="BN79" s="5"/>
    </row>
    <row r="80" spans="1:66" x14ac:dyDescent="0.2">
      <c r="A80" s="14">
        <v>78</v>
      </c>
      <c r="B80" s="15">
        <v>0.30061222600801429</v>
      </c>
      <c r="AH80" s="5"/>
      <c r="AI80" s="5"/>
      <c r="AJ80" s="5"/>
      <c r="AK80" s="5"/>
      <c r="AL80" s="5"/>
      <c r="AM80" s="5"/>
      <c r="AN80" s="5"/>
      <c r="AO80" s="5"/>
      <c r="AP80" s="5"/>
      <c r="AQ80" s="5"/>
      <c r="AY80" s="5"/>
      <c r="AZ80" s="5"/>
      <c r="BA80" s="5"/>
      <c r="BB80" s="5"/>
      <c r="BC80" s="5"/>
      <c r="BD80" s="5"/>
      <c r="BE80" s="5"/>
      <c r="BF80" s="5"/>
      <c r="BG80" s="5"/>
      <c r="BH80" s="5"/>
      <c r="BI80" s="5"/>
      <c r="BJ80" s="5"/>
      <c r="BK80" s="5"/>
      <c r="BL80" s="5"/>
      <c r="BM80" s="5"/>
      <c r="BN80" s="5"/>
    </row>
    <row r="81" spans="1:66" x14ac:dyDescent="0.2">
      <c r="A81" s="14">
        <v>79</v>
      </c>
      <c r="B81" s="15">
        <v>0.74523385292175359</v>
      </c>
      <c r="AH81" s="5"/>
      <c r="AI81" s="5"/>
      <c r="AJ81" s="5"/>
      <c r="AK81" s="5"/>
      <c r="AL81" s="5"/>
      <c r="AM81" s="5"/>
      <c r="AN81" s="5"/>
      <c r="AO81" s="5"/>
      <c r="AP81" s="5"/>
      <c r="AQ81" s="5"/>
      <c r="AY81" s="5"/>
      <c r="AZ81" s="5"/>
      <c r="BA81" s="5"/>
      <c r="BB81" s="5"/>
      <c r="BC81" s="5"/>
      <c r="BD81" s="5"/>
      <c r="BE81" s="5"/>
      <c r="BF81" s="5"/>
      <c r="BG81" s="5"/>
      <c r="BH81" s="5"/>
      <c r="BI81" s="5"/>
      <c r="BJ81" s="5"/>
      <c r="BK81" s="5"/>
      <c r="BL81" s="5"/>
      <c r="BM81" s="5"/>
      <c r="BN81" s="5"/>
    </row>
    <row r="82" spans="1:66" x14ac:dyDescent="0.2">
      <c r="A82" s="14">
        <v>80</v>
      </c>
      <c r="B82" s="15">
        <v>-0.13687259827178894</v>
      </c>
      <c r="AH82" s="5"/>
      <c r="AI82" s="5"/>
      <c r="AJ82" s="5"/>
      <c r="AK82" s="5"/>
      <c r="AL82" s="5"/>
      <c r="AM82" s="5"/>
      <c r="AN82" s="5"/>
      <c r="AO82" s="5"/>
      <c r="AP82" s="5"/>
      <c r="AQ82" s="5"/>
      <c r="AY82" s="5"/>
      <c r="AZ82" s="5"/>
      <c r="BA82" s="5"/>
      <c r="BB82" s="5"/>
      <c r="BC82" s="5"/>
      <c r="BD82" s="5"/>
      <c r="BE82" s="5"/>
      <c r="BF82" s="5"/>
      <c r="BG82" s="5"/>
      <c r="BH82" s="5"/>
      <c r="BI82" s="5"/>
      <c r="BJ82" s="5"/>
      <c r="BK82" s="5"/>
      <c r="BL82" s="5"/>
      <c r="BM82" s="5"/>
      <c r="BN82" s="5"/>
    </row>
    <row r="83" spans="1:66" x14ac:dyDescent="0.2">
      <c r="A83" s="14">
        <v>81</v>
      </c>
      <c r="B83" s="15">
        <v>-0.75652860370826058</v>
      </c>
      <c r="AH83" s="5"/>
      <c r="AI83" s="5"/>
      <c r="AJ83" s="5"/>
      <c r="AK83" s="5"/>
      <c r="AL83" s="5"/>
      <c r="AM83" s="5"/>
      <c r="AN83" s="5"/>
      <c r="AO83" s="5"/>
      <c r="AP83" s="5"/>
      <c r="AQ83" s="5"/>
      <c r="AY83" s="5"/>
      <c r="AZ83" s="5"/>
      <c r="BA83" s="5"/>
      <c r="BB83" s="5"/>
      <c r="BC83" s="5"/>
      <c r="BD83" s="5"/>
      <c r="BE83" s="5"/>
      <c r="BF83" s="5"/>
      <c r="BG83" s="5"/>
      <c r="BH83" s="5"/>
      <c r="BI83" s="5"/>
      <c r="BJ83" s="5"/>
      <c r="BK83" s="5"/>
      <c r="BL83" s="5"/>
      <c r="BM83" s="5"/>
      <c r="BN83" s="5"/>
    </row>
    <row r="84" spans="1:66" x14ac:dyDescent="0.2">
      <c r="A84" s="14">
        <v>82</v>
      </c>
      <c r="B84" s="15">
        <v>-1.9869753388231901</v>
      </c>
      <c r="AH84" s="5"/>
      <c r="AI84" s="5"/>
      <c r="AJ84" s="5"/>
      <c r="AK84" s="5"/>
      <c r="AL84" s="5"/>
      <c r="AM84" s="5"/>
      <c r="AN84" s="5"/>
      <c r="AO84" s="5"/>
      <c r="AP84" s="5"/>
      <c r="AQ84" s="5"/>
      <c r="AY84" s="5"/>
      <c r="AZ84" s="5"/>
      <c r="BA84" s="5"/>
      <c r="BB84" s="5"/>
      <c r="BC84" s="5"/>
      <c r="BD84" s="5"/>
      <c r="BE84" s="5"/>
      <c r="BF84" s="5"/>
      <c r="BG84" s="5"/>
      <c r="BH84" s="5"/>
      <c r="BI84" s="5"/>
      <c r="BJ84" s="5"/>
      <c r="BK84" s="5"/>
      <c r="BL84" s="5"/>
      <c r="BM84" s="5"/>
      <c r="BN84" s="5"/>
    </row>
    <row r="85" spans="1:66" x14ac:dyDescent="0.2">
      <c r="A85" s="14">
        <v>83</v>
      </c>
      <c r="B85" s="15">
        <v>-2.5118790087052895E-2</v>
      </c>
      <c r="AH85" s="5"/>
      <c r="AI85" s="5"/>
      <c r="AJ85" s="5"/>
      <c r="AK85" s="5"/>
      <c r="AL85" s="5"/>
      <c r="AM85" s="5"/>
      <c r="AN85" s="5"/>
      <c r="AO85" s="5"/>
      <c r="AP85" s="5"/>
      <c r="AQ85" s="5"/>
      <c r="AY85" s="5"/>
      <c r="AZ85" s="5"/>
      <c r="BA85" s="5"/>
      <c r="BB85" s="5"/>
      <c r="BC85" s="5"/>
      <c r="BD85" s="5"/>
      <c r="BE85" s="5"/>
      <c r="BF85" s="5"/>
      <c r="BG85" s="5"/>
      <c r="BH85" s="5"/>
      <c r="BI85" s="5"/>
      <c r="BJ85" s="5"/>
      <c r="BK85" s="5"/>
      <c r="BL85" s="5"/>
      <c r="BM85" s="5"/>
      <c r="BN85" s="5"/>
    </row>
    <row r="86" spans="1:66" x14ac:dyDescent="0.2">
      <c r="A86" s="14">
        <v>84</v>
      </c>
      <c r="B86" s="15">
        <v>-4.6980267237984479E-2</v>
      </c>
      <c r="AH86" s="5"/>
      <c r="AI86" s="5"/>
      <c r="AJ86" s="5"/>
      <c r="AK86" s="5"/>
      <c r="AL86" s="5"/>
      <c r="AM86" s="5"/>
      <c r="AN86" s="5"/>
      <c r="AO86" s="5"/>
      <c r="AP86" s="5"/>
      <c r="AQ86" s="5"/>
      <c r="AY86" s="5"/>
      <c r="AZ86" s="5"/>
      <c r="BA86" s="5"/>
      <c r="BB86" s="5"/>
      <c r="BC86" s="5"/>
      <c r="BD86" s="5"/>
      <c r="BE86" s="5"/>
      <c r="BF86" s="5"/>
      <c r="BG86" s="5"/>
      <c r="BH86" s="5"/>
      <c r="BI86" s="5"/>
      <c r="BJ86" s="5"/>
      <c r="BK86" s="5"/>
      <c r="BL86" s="5"/>
      <c r="BM86" s="5"/>
      <c r="BN86" s="5"/>
    </row>
    <row r="87" spans="1:66" x14ac:dyDescent="0.2">
      <c r="A87" s="14">
        <v>85</v>
      </c>
      <c r="B87" s="15">
        <v>1.3433060774240804</v>
      </c>
      <c r="AH87" s="5"/>
      <c r="AI87" s="5"/>
      <c r="AJ87" s="5"/>
      <c r="AK87" s="5"/>
      <c r="AL87" s="5"/>
      <c r="AM87" s="5"/>
      <c r="AN87" s="5"/>
      <c r="AO87" s="5"/>
      <c r="AP87" s="5"/>
      <c r="AQ87" s="5"/>
      <c r="AY87" s="5"/>
      <c r="AZ87" s="5"/>
      <c r="BA87" s="5"/>
      <c r="BB87" s="5"/>
      <c r="BC87" s="5"/>
      <c r="BD87" s="5"/>
      <c r="BE87" s="5"/>
      <c r="BF87" s="5"/>
      <c r="BG87" s="5"/>
      <c r="BH87" s="5"/>
      <c r="BI87" s="5"/>
      <c r="BJ87" s="5"/>
      <c r="BK87" s="5"/>
      <c r="BL87" s="5"/>
      <c r="BM87" s="5"/>
      <c r="BN87" s="5"/>
    </row>
    <row r="88" spans="1:66" x14ac:dyDescent="0.2">
      <c r="A88" s="14">
        <v>86</v>
      </c>
      <c r="B88" s="15">
        <v>-0.83777818121146141</v>
      </c>
      <c r="AH88" s="5"/>
      <c r="AI88" s="5"/>
      <c r="AJ88" s="5"/>
      <c r="AK88" s="5"/>
      <c r="AL88" s="5"/>
      <c r="AM88" s="5"/>
      <c r="AN88" s="5"/>
      <c r="AO88" s="5"/>
      <c r="AP88" s="5"/>
      <c r="AQ88" s="5"/>
      <c r="AY88" s="5"/>
      <c r="AZ88" s="5"/>
      <c r="BA88" s="5"/>
      <c r="BB88" s="5"/>
      <c r="BC88" s="5"/>
      <c r="BD88" s="5"/>
      <c r="BE88" s="5"/>
      <c r="BF88" s="5"/>
      <c r="BG88" s="5"/>
      <c r="BH88" s="5"/>
      <c r="BI88" s="5"/>
      <c r="BJ88" s="5"/>
      <c r="BK88" s="5"/>
      <c r="BL88" s="5"/>
      <c r="BM88" s="5"/>
      <c r="BN88" s="5"/>
    </row>
    <row r="89" spans="1:66" x14ac:dyDescent="0.2">
      <c r="A89" s="14">
        <v>87</v>
      </c>
      <c r="B89" s="15">
        <v>-0.87092309236707344</v>
      </c>
      <c r="AH89" s="5"/>
      <c r="AI89" s="5"/>
      <c r="AJ89" s="5"/>
      <c r="AK89" s="5"/>
      <c r="AL89" s="5"/>
      <c r="AM89" s="5"/>
      <c r="AN89" s="5"/>
      <c r="AO89" s="5"/>
      <c r="AP89" s="5"/>
      <c r="AQ89" s="5"/>
      <c r="AY89" s="5"/>
      <c r="AZ89" s="5"/>
      <c r="BA89" s="5"/>
      <c r="BB89" s="5"/>
      <c r="BC89" s="5"/>
      <c r="BD89" s="5"/>
      <c r="BE89" s="5"/>
      <c r="BF89" s="5"/>
      <c r="BG89" s="5"/>
      <c r="BH89" s="5"/>
      <c r="BI89" s="5"/>
      <c r="BJ89" s="5"/>
      <c r="BK89" s="5"/>
      <c r="BL89" s="5"/>
      <c r="BM89" s="5"/>
      <c r="BN89" s="5"/>
    </row>
    <row r="90" spans="1:66" x14ac:dyDescent="0.2">
      <c r="A90" s="14">
        <v>88</v>
      </c>
      <c r="B90" s="15">
        <v>-0.62139385477756182</v>
      </c>
      <c r="AH90" s="5"/>
      <c r="AI90" s="5"/>
      <c r="AJ90" s="5"/>
      <c r="AK90" s="5"/>
      <c r="AL90" s="5"/>
      <c r="AM90" s="5"/>
      <c r="AN90" s="5"/>
      <c r="AO90" s="5"/>
      <c r="AP90" s="5"/>
      <c r="AQ90" s="5"/>
      <c r="AY90" s="5"/>
      <c r="AZ90" s="5"/>
      <c r="BA90" s="5"/>
      <c r="BB90" s="5"/>
      <c r="BC90" s="5"/>
      <c r="BD90" s="5"/>
      <c r="BE90" s="5"/>
      <c r="BF90" s="5"/>
      <c r="BG90" s="5"/>
      <c r="BH90" s="5"/>
      <c r="BI90" s="5"/>
      <c r="BJ90" s="5"/>
      <c r="BK90" s="5"/>
      <c r="BL90" s="5"/>
      <c r="BM90" s="5"/>
      <c r="BN90" s="5"/>
    </row>
    <row r="91" spans="1:66" x14ac:dyDescent="0.2">
      <c r="A91" s="14">
        <v>89</v>
      </c>
      <c r="B91" s="15">
        <v>-1.1068307419714531</v>
      </c>
      <c r="AH91" s="5"/>
      <c r="AI91" s="5"/>
      <c r="AJ91" s="5"/>
      <c r="AK91" s="5"/>
      <c r="AL91" s="5"/>
      <c r="AM91" s="5"/>
      <c r="AN91" s="5"/>
      <c r="AO91" s="5"/>
      <c r="AP91" s="5"/>
      <c r="AQ91" s="5"/>
      <c r="AY91" s="5"/>
      <c r="AZ91" s="5"/>
      <c r="BA91" s="5"/>
      <c r="BB91" s="5"/>
      <c r="BC91" s="5"/>
      <c r="BD91" s="5"/>
      <c r="BE91" s="5"/>
      <c r="BF91" s="5"/>
      <c r="BG91" s="5"/>
      <c r="BH91" s="5"/>
      <c r="BI91" s="5"/>
      <c r="BJ91" s="5"/>
      <c r="BK91" s="5"/>
      <c r="BL91" s="5"/>
      <c r="BM91" s="5"/>
      <c r="BN91" s="5"/>
    </row>
    <row r="92" spans="1:66" x14ac:dyDescent="0.2">
      <c r="A92" s="14">
        <v>90</v>
      </c>
      <c r="B92" s="15">
        <v>-0.38531258754967951</v>
      </c>
      <c r="AH92" s="5"/>
      <c r="AI92" s="5"/>
      <c r="AJ92" s="5"/>
      <c r="AK92" s="5"/>
      <c r="AL92" s="5"/>
      <c r="AM92" s="5"/>
      <c r="AN92" s="5"/>
      <c r="AO92" s="5"/>
      <c r="AP92" s="5"/>
      <c r="AQ92" s="5"/>
      <c r="AY92" s="5"/>
      <c r="AZ92" s="5"/>
      <c r="BA92" s="5"/>
      <c r="BB92" s="5"/>
      <c r="BC92" s="5"/>
      <c r="BD92" s="5"/>
      <c r="BE92" s="5"/>
      <c r="BF92" s="5"/>
      <c r="BG92" s="5"/>
      <c r="BH92" s="5"/>
      <c r="BI92" s="5"/>
      <c r="BJ92" s="5"/>
      <c r="BK92" s="5"/>
      <c r="BL92" s="5"/>
      <c r="BM92" s="5"/>
      <c r="BN92" s="5"/>
    </row>
    <row r="93" spans="1:66" x14ac:dyDescent="0.2">
      <c r="A93" s="14">
        <v>91</v>
      </c>
      <c r="B93" s="15">
        <v>0.86306688469591031</v>
      </c>
      <c r="AH93" s="5"/>
      <c r="AI93" s="5"/>
      <c r="AJ93" s="5"/>
      <c r="AK93" s="5"/>
      <c r="AL93" s="5"/>
      <c r="AM93" s="5"/>
      <c r="AN93" s="5"/>
      <c r="AO93" s="5"/>
      <c r="AP93" s="5"/>
      <c r="AQ93" s="5"/>
      <c r="AY93" s="5"/>
      <c r="AZ93" s="5"/>
      <c r="BA93" s="5"/>
      <c r="BB93" s="5"/>
      <c r="BC93" s="5"/>
      <c r="BD93" s="5"/>
      <c r="BE93" s="5"/>
      <c r="BF93" s="5"/>
      <c r="BG93" s="5"/>
      <c r="BH93" s="5"/>
      <c r="BI93" s="5"/>
      <c r="BJ93" s="5"/>
      <c r="BK93" s="5"/>
      <c r="BL93" s="5"/>
      <c r="BM93" s="5"/>
      <c r="BN93" s="5"/>
    </row>
    <row r="94" spans="1:66" x14ac:dyDescent="0.2">
      <c r="A94" s="14">
        <v>92</v>
      </c>
      <c r="B94" s="15">
        <v>1.3990442211357939</v>
      </c>
      <c r="AH94" s="5"/>
      <c r="AI94" s="5"/>
      <c r="AJ94" s="5"/>
      <c r="AK94" s="5"/>
      <c r="AL94" s="5"/>
      <c r="AM94" s="5"/>
      <c r="AN94" s="5"/>
      <c r="AO94" s="5"/>
      <c r="AP94" s="5"/>
      <c r="AQ94" s="5"/>
      <c r="AY94" s="5"/>
      <c r="AZ94" s="5"/>
      <c r="BA94" s="5"/>
      <c r="BB94" s="5"/>
      <c r="BC94" s="5"/>
      <c r="BD94" s="5"/>
      <c r="BE94" s="5"/>
      <c r="BF94" s="5"/>
      <c r="BG94" s="5"/>
      <c r="BH94" s="5"/>
      <c r="BI94" s="5"/>
      <c r="BJ94" s="5"/>
      <c r="BK94" s="5"/>
      <c r="BL94" s="5"/>
      <c r="BM94" s="5"/>
      <c r="BN94" s="5"/>
    </row>
    <row r="95" spans="1:66" x14ac:dyDescent="0.2">
      <c r="A95" s="14">
        <v>93</v>
      </c>
      <c r="B95" s="15">
        <v>-1.5218946394710144E-2</v>
      </c>
      <c r="AH95" s="5"/>
      <c r="AI95" s="5"/>
      <c r="AJ95" s="5"/>
      <c r="AK95" s="5"/>
      <c r="AL95" s="5"/>
      <c r="AM95" s="5"/>
      <c r="AN95" s="5"/>
      <c r="AO95" s="5"/>
      <c r="AP95" s="5"/>
      <c r="AQ95" s="5"/>
      <c r="AY95" s="5"/>
      <c r="AZ95" s="5"/>
      <c r="BA95" s="5"/>
      <c r="BB95" s="5"/>
      <c r="BC95" s="5"/>
      <c r="BD95" s="5"/>
      <c r="BE95" s="5"/>
      <c r="BF95" s="5"/>
      <c r="BG95" s="5"/>
      <c r="BH95" s="5"/>
      <c r="BI95" s="5"/>
      <c r="BJ95" s="5"/>
      <c r="BK95" s="5"/>
      <c r="BL95" s="5"/>
      <c r="BM95" s="5"/>
      <c r="BN95" s="5"/>
    </row>
    <row r="96" spans="1:66" x14ac:dyDescent="0.2">
      <c r="A96" s="14">
        <v>94</v>
      </c>
      <c r="B96" s="15">
        <v>0.83019429889809238</v>
      </c>
      <c r="AH96" s="5"/>
      <c r="AI96" s="5"/>
      <c r="AJ96" s="5"/>
      <c r="AK96" s="5"/>
      <c r="AL96" s="5"/>
      <c r="AM96" s="5"/>
      <c r="AN96" s="5"/>
      <c r="AO96" s="5"/>
      <c r="AP96" s="5"/>
      <c r="AQ96" s="5"/>
      <c r="AY96" s="5"/>
      <c r="AZ96" s="5"/>
      <c r="BA96" s="5"/>
      <c r="BB96" s="5"/>
      <c r="BC96" s="5"/>
      <c r="BD96" s="5"/>
      <c r="BE96" s="5"/>
      <c r="BF96" s="5"/>
      <c r="BG96" s="5"/>
      <c r="BH96" s="5"/>
      <c r="BI96" s="5"/>
      <c r="BJ96" s="5"/>
      <c r="BK96" s="5"/>
      <c r="BL96" s="5"/>
      <c r="BM96" s="5"/>
      <c r="BN96" s="5"/>
    </row>
    <row r="97" spans="1:66" x14ac:dyDescent="0.2">
      <c r="A97" s="14">
        <v>95</v>
      </c>
      <c r="B97" s="15">
        <v>-0.31399707409402189</v>
      </c>
      <c r="AH97" s="5"/>
      <c r="AI97" s="5"/>
      <c r="AJ97" s="5"/>
      <c r="AK97" s="5"/>
      <c r="AL97" s="5"/>
      <c r="AM97" s="5"/>
      <c r="AN97" s="5"/>
      <c r="AO97" s="5"/>
      <c r="AP97" s="5"/>
      <c r="AQ97" s="5"/>
      <c r="AY97" s="5"/>
      <c r="AZ97" s="5"/>
      <c r="BA97" s="5"/>
      <c r="BB97" s="5"/>
      <c r="BC97" s="5"/>
      <c r="BD97" s="5"/>
      <c r="BE97" s="5"/>
      <c r="BF97" s="5"/>
      <c r="BG97" s="5"/>
      <c r="BH97" s="5"/>
      <c r="BI97" s="5"/>
      <c r="BJ97" s="5"/>
      <c r="BK97" s="5"/>
      <c r="BL97" s="5"/>
      <c r="BM97" s="5"/>
      <c r="BN97" s="5"/>
    </row>
    <row r="98" spans="1:66" x14ac:dyDescent="0.2">
      <c r="A98" s="14">
        <v>96</v>
      </c>
      <c r="B98" s="15">
        <v>-1.7053231234648221</v>
      </c>
      <c r="AH98" s="5"/>
      <c r="AI98" s="5"/>
      <c r="AJ98" s="5"/>
      <c r="AK98" s="5"/>
      <c r="AL98" s="5"/>
      <c r="AM98" s="5"/>
      <c r="AN98" s="5"/>
      <c r="AO98" s="5"/>
      <c r="AP98" s="5"/>
      <c r="AQ98" s="5"/>
      <c r="AY98" s="5"/>
      <c r="AZ98" s="5"/>
      <c r="BA98" s="5"/>
      <c r="BB98" s="5"/>
      <c r="BC98" s="5"/>
      <c r="BD98" s="5"/>
      <c r="BE98" s="5"/>
      <c r="BF98" s="5"/>
      <c r="BG98" s="5"/>
      <c r="BH98" s="5"/>
      <c r="BI98" s="5"/>
      <c r="BJ98" s="5"/>
      <c r="BK98" s="5"/>
      <c r="BL98" s="5"/>
      <c r="BM98" s="5"/>
      <c r="BN98" s="5"/>
    </row>
    <row r="99" spans="1:66" x14ac:dyDescent="0.2">
      <c r="A99" s="14">
        <v>97</v>
      </c>
      <c r="B99" s="15">
        <v>-4.8924605481275918E-2</v>
      </c>
      <c r="AH99" s="5"/>
      <c r="AI99" s="5"/>
      <c r="AJ99" s="5"/>
      <c r="AK99" s="5"/>
      <c r="AL99" s="5"/>
      <c r="AM99" s="5"/>
      <c r="AN99" s="5"/>
      <c r="AO99" s="5"/>
      <c r="AP99" s="5"/>
      <c r="AQ99" s="5"/>
      <c r="AY99" s="5"/>
      <c r="AZ99" s="5"/>
      <c r="BA99" s="5"/>
      <c r="BB99" s="5"/>
      <c r="BC99" s="5"/>
      <c r="BD99" s="5"/>
      <c r="BE99" s="5"/>
      <c r="BF99" s="5"/>
      <c r="BG99" s="5"/>
      <c r="BH99" s="5"/>
      <c r="BI99" s="5"/>
      <c r="BJ99" s="5"/>
      <c r="BK99" s="5"/>
      <c r="BL99" s="5"/>
      <c r="BM99" s="5"/>
      <c r="BN99" s="5"/>
    </row>
    <row r="100" spans="1:66" x14ac:dyDescent="0.2">
      <c r="A100" s="14">
        <v>98</v>
      </c>
      <c r="B100" s="15">
        <v>-0.36474708539840284</v>
      </c>
      <c r="AH100" s="5"/>
      <c r="AI100" s="5"/>
      <c r="AJ100" s="5"/>
      <c r="AK100" s="5"/>
      <c r="AL100" s="5"/>
      <c r="AM100" s="5"/>
      <c r="AN100" s="5"/>
      <c r="AO100" s="5"/>
      <c r="AP100" s="5"/>
      <c r="AQ100" s="5"/>
      <c r="AY100" s="5"/>
      <c r="AZ100" s="5"/>
      <c r="BA100" s="5"/>
      <c r="BB100" s="5"/>
      <c r="BC100" s="5"/>
      <c r="BD100" s="5"/>
      <c r="BE100" s="5"/>
      <c r="BF100" s="5"/>
      <c r="BG100" s="5"/>
      <c r="BH100" s="5"/>
      <c r="BI100" s="5"/>
      <c r="BJ100" s="5"/>
      <c r="BK100" s="5"/>
      <c r="BL100" s="5"/>
      <c r="BM100" s="5"/>
      <c r="BN100" s="5"/>
    </row>
    <row r="101" spans="1:66" x14ac:dyDescent="0.2">
      <c r="A101" s="14">
        <v>99</v>
      </c>
      <c r="B101" s="15">
        <v>1.3329740169897808</v>
      </c>
      <c r="AH101" s="5"/>
      <c r="AI101" s="5"/>
      <c r="AJ101" s="5"/>
      <c r="AK101" s="5"/>
      <c r="AL101" s="5"/>
      <c r="AM101" s="5"/>
      <c r="AN101" s="5"/>
      <c r="AO101" s="5"/>
      <c r="AP101" s="5"/>
      <c r="AQ101" s="5"/>
      <c r="AY101" s="5"/>
      <c r="AZ101" s="5"/>
      <c r="BA101" s="5"/>
      <c r="BB101" s="5"/>
      <c r="BC101" s="5"/>
      <c r="BD101" s="5"/>
      <c r="BE101" s="5"/>
      <c r="BF101" s="5"/>
      <c r="BG101" s="5"/>
      <c r="BH101" s="5"/>
      <c r="BI101" s="5"/>
      <c r="BJ101" s="5"/>
      <c r="BK101" s="5"/>
      <c r="BL101" s="5"/>
      <c r="BM101" s="5"/>
      <c r="BN101" s="5"/>
    </row>
    <row r="102" spans="1:66" x14ac:dyDescent="0.2">
      <c r="A102" s="14">
        <v>100</v>
      </c>
      <c r="B102" s="15">
        <v>-3.4188695838845248E-2</v>
      </c>
      <c r="AH102" s="5"/>
      <c r="AI102" s="5"/>
      <c r="AJ102" s="5"/>
      <c r="AK102" s="5"/>
      <c r="AL102" s="5"/>
      <c r="AM102" s="5"/>
      <c r="AN102" s="5"/>
      <c r="AO102" s="5"/>
      <c r="AP102" s="5"/>
      <c r="AQ102" s="5"/>
      <c r="AY102" s="5"/>
      <c r="AZ102" s="5"/>
      <c r="BA102" s="5"/>
      <c r="BB102" s="5"/>
      <c r="BC102" s="5"/>
      <c r="BD102" s="5"/>
      <c r="BE102" s="5"/>
      <c r="BF102" s="5"/>
      <c r="BG102" s="5"/>
      <c r="BH102" s="5"/>
      <c r="BI102" s="5"/>
      <c r="BJ102" s="5"/>
      <c r="BK102" s="5"/>
      <c r="BL102" s="5"/>
      <c r="BM102" s="5"/>
      <c r="BN102" s="5"/>
    </row>
    <row r="103" spans="1:66" x14ac:dyDescent="0.2">
      <c r="A103" s="42" t="s">
        <v>65</v>
      </c>
    </row>
  </sheetData>
  <dataConsolidate/>
  <mergeCells count="3">
    <mergeCell ref="I4:K4"/>
    <mergeCell ref="L4:N4"/>
    <mergeCell ref="F2:G2"/>
  </mergeCells>
  <phoneticPr fontId="5" type="noConversion"/>
  <pageMargins left="0.75" right="0.75" top="1" bottom="1" header="0.5" footer="0.5"/>
  <pageSetup orientation="portrait" horizontalDpi="200" verticalDpi="2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I64"/>
  <sheetViews>
    <sheetView showGridLines="0" tabSelected="1" topLeftCell="A31" workbookViewId="0">
      <selection activeCell="C37" sqref="C37"/>
    </sheetView>
  </sheetViews>
  <sheetFormatPr baseColWidth="10" defaultColWidth="9.1640625" defaultRowHeight="13" x14ac:dyDescent="0.15"/>
  <cols>
    <col min="1" max="3" width="9.1640625" style="47"/>
    <col min="4" max="4" width="11.6640625" style="47" customWidth="1"/>
    <col min="5" max="5" width="10.33203125" style="47" customWidth="1"/>
    <col min="6" max="7" width="9.1640625" style="47"/>
    <col min="8" max="8" width="11.5" style="47" customWidth="1"/>
    <col min="9" max="16384" width="9.1640625" style="47"/>
  </cols>
  <sheetData>
    <row r="1" spans="1:2" x14ac:dyDescent="0.15">
      <c r="A1" s="66" t="s">
        <v>115</v>
      </c>
    </row>
    <row r="3" spans="1:2" x14ac:dyDescent="0.15">
      <c r="A3" s="47" t="s">
        <v>78</v>
      </c>
    </row>
    <row r="4" spans="1:2" x14ac:dyDescent="0.15">
      <c r="A4" s="47" t="s">
        <v>79</v>
      </c>
    </row>
    <row r="5" spans="1:2" x14ac:dyDescent="0.15">
      <c r="A5" s="47" t="s">
        <v>80</v>
      </c>
    </row>
    <row r="6" spans="1:2" x14ac:dyDescent="0.15">
      <c r="A6" s="47" t="s">
        <v>81</v>
      </c>
    </row>
    <row r="7" spans="1:2" x14ac:dyDescent="0.15">
      <c r="B7" s="47" t="s">
        <v>82</v>
      </c>
    </row>
    <row r="8" spans="1:2" x14ac:dyDescent="0.15">
      <c r="B8" s="47" t="s">
        <v>83</v>
      </c>
    </row>
    <row r="9" spans="1:2" x14ac:dyDescent="0.15">
      <c r="B9" s="47" t="s">
        <v>84</v>
      </c>
    </row>
    <row r="10" spans="1:2" x14ac:dyDescent="0.15">
      <c r="B10" s="47" t="s">
        <v>85</v>
      </c>
    </row>
    <row r="11" spans="1:2" x14ac:dyDescent="0.15">
      <c r="A11" s="47" t="s">
        <v>86</v>
      </c>
    </row>
    <row r="12" spans="1:2" x14ac:dyDescent="0.15">
      <c r="A12" s="64" t="s">
        <v>112</v>
      </c>
    </row>
    <row r="13" spans="1:2" x14ac:dyDescent="0.15">
      <c r="A13" s="64" t="s">
        <v>113</v>
      </c>
    </row>
    <row r="14" spans="1:2" x14ac:dyDescent="0.15">
      <c r="A14" s="64" t="s">
        <v>114</v>
      </c>
    </row>
    <row r="15" spans="1:2" x14ac:dyDescent="0.15">
      <c r="A15" s="64"/>
    </row>
    <row r="16" spans="1:2" x14ac:dyDescent="0.15">
      <c r="A16" s="47" t="s">
        <v>87</v>
      </c>
    </row>
    <row r="17" spans="1:7" x14ac:dyDescent="0.15">
      <c r="B17" s="64" t="s">
        <v>108</v>
      </c>
    </row>
    <row r="18" spans="1:7" x14ac:dyDescent="0.15">
      <c r="B18" s="64" t="s">
        <v>110</v>
      </c>
    </row>
    <row r="19" spans="1:7" x14ac:dyDescent="0.15">
      <c r="B19" s="47" t="s">
        <v>88</v>
      </c>
    </row>
    <row r="20" spans="1:7" x14ac:dyDescent="0.15">
      <c r="B20" s="64" t="s">
        <v>109</v>
      </c>
    </row>
    <row r="21" spans="1:7" x14ac:dyDescent="0.15">
      <c r="B21" s="64" t="s">
        <v>111</v>
      </c>
    </row>
    <row r="22" spans="1:7" x14ac:dyDescent="0.15">
      <c r="A22" s="47" t="s">
        <v>89</v>
      </c>
    </row>
    <row r="23" spans="1:7" ht="14" thickBot="1" x14ac:dyDescent="0.2"/>
    <row r="24" spans="1:7" ht="14" thickBot="1" x14ac:dyDescent="0.2">
      <c r="A24" s="48" t="s">
        <v>90</v>
      </c>
      <c r="B24" s="49">
        <f t="array" aca="1" ref="B24:C24" ca="1">BiVarNormal(0,1,0,1,0.7)</f>
        <v>0.45174748348153343</v>
      </c>
      <c r="C24" s="50">
        <f ca="1"/>
        <v>-0.17292114570163533</v>
      </c>
      <c r="D24" s="51" t="str">
        <f ca="1">GetFormula(B24)</f>
        <v>&lt;-- =BiVarNormal(0,1,0,1,0.7)</v>
      </c>
      <c r="G24" s="47" t="s">
        <v>91</v>
      </c>
    </row>
    <row r="25" spans="1:7" ht="14" thickBot="1" x14ac:dyDescent="0.2"/>
    <row r="26" spans="1:7" ht="14" thickBot="1" x14ac:dyDescent="0.2">
      <c r="A26" s="48" t="s">
        <v>92</v>
      </c>
      <c r="B26" s="49">
        <f t="array" aca="1" ref="B26:D26" ca="1">MultivarNormal(3,A29:C31,D29:D31,E29:E31)</f>
        <v>0.60856259177024052</v>
      </c>
      <c r="C26" s="49">
        <f ca="1"/>
        <v>10.419742795608121</v>
      </c>
      <c r="D26" s="50">
        <f ca="1"/>
        <v>99.909185810843027</v>
      </c>
      <c r="E26" s="47" t="str">
        <f ca="1">GetFormula(B26)</f>
        <v>&lt;-- =MultivarNormal(3,A29:C31,D29:D31,E29:E31)</v>
      </c>
    </row>
    <row r="27" spans="1:7" ht="14" thickBot="1" x14ac:dyDescent="0.2"/>
    <row r="28" spans="1:7" x14ac:dyDescent="0.15">
      <c r="A28" s="52" t="s">
        <v>93</v>
      </c>
      <c r="B28" s="53"/>
      <c r="C28" s="54"/>
      <c r="D28" s="55" t="s">
        <v>94</v>
      </c>
      <c r="E28" s="55" t="s">
        <v>95</v>
      </c>
    </row>
    <row r="29" spans="1:7" x14ac:dyDescent="0.15">
      <c r="A29" s="56">
        <v>1</v>
      </c>
      <c r="B29" s="57"/>
      <c r="C29" s="58"/>
      <c r="D29" s="59">
        <v>0</v>
      </c>
      <c r="E29" s="59">
        <v>1</v>
      </c>
    </row>
    <row r="30" spans="1:7" x14ac:dyDescent="0.15">
      <c r="A30" s="56">
        <v>0.2</v>
      </c>
      <c r="B30" s="57">
        <v>1</v>
      </c>
      <c r="C30" s="58"/>
      <c r="D30" s="59">
        <v>10</v>
      </c>
      <c r="E30" s="59">
        <v>1</v>
      </c>
    </row>
    <row r="31" spans="1:7" ht="14" thickBot="1" x14ac:dyDescent="0.2">
      <c r="A31" s="60">
        <v>0.3</v>
      </c>
      <c r="B31" s="61">
        <v>0.4</v>
      </c>
      <c r="C31" s="62">
        <v>1</v>
      </c>
      <c r="D31" s="63">
        <v>100</v>
      </c>
      <c r="E31" s="63">
        <v>1</v>
      </c>
    </row>
    <row r="35" spans="1:9" x14ac:dyDescent="0.15">
      <c r="A35" s="67" t="s">
        <v>106</v>
      </c>
    </row>
    <row r="36" spans="1:9" x14ac:dyDescent="0.15">
      <c r="A36"/>
      <c r="B36"/>
      <c r="C36"/>
      <c r="D36"/>
      <c r="E36"/>
      <c r="F36"/>
      <c r="G36"/>
      <c r="H36"/>
      <c r="I36"/>
    </row>
    <row r="37" spans="1:9" x14ac:dyDescent="0.15">
      <c r="A37" s="64" t="s">
        <v>102</v>
      </c>
      <c r="B37"/>
      <c r="C37"/>
      <c r="D37"/>
    </row>
    <row r="38" spans="1:9" x14ac:dyDescent="0.15">
      <c r="A38"/>
      <c r="B38"/>
      <c r="C38"/>
      <c r="D38"/>
    </row>
    <row r="39" spans="1:9" ht="14" thickBot="1" x14ac:dyDescent="0.2">
      <c r="A39" s="64" t="s">
        <v>104</v>
      </c>
      <c r="C39"/>
      <c r="D39"/>
      <c r="E39" s="64" t="s">
        <v>105</v>
      </c>
    </row>
    <row r="40" spans="1:9" x14ac:dyDescent="0.15">
      <c r="C40"/>
      <c r="D40"/>
      <c r="E40" s="100" t="s">
        <v>96</v>
      </c>
      <c r="F40" s="101"/>
      <c r="G40" s="102"/>
      <c r="H40" s="75" t="s">
        <v>97</v>
      </c>
      <c r="I40" s="75" t="s">
        <v>95</v>
      </c>
    </row>
    <row r="41" spans="1:9" x14ac:dyDescent="0.15">
      <c r="A41" s="68" t="s">
        <v>107</v>
      </c>
      <c r="C41"/>
      <c r="D41"/>
      <c r="E41" s="69">
        <v>1</v>
      </c>
      <c r="F41" s="70"/>
      <c r="G41" s="71"/>
      <c r="H41" s="76">
        <v>0</v>
      </c>
      <c r="I41" s="76">
        <v>1</v>
      </c>
    </row>
    <row r="42" spans="1:9" x14ac:dyDescent="0.15">
      <c r="C42"/>
      <c r="D42"/>
      <c r="E42" s="69">
        <v>0.9</v>
      </c>
      <c r="F42" s="70">
        <v>1</v>
      </c>
      <c r="G42" s="71"/>
      <c r="H42" s="76">
        <v>10</v>
      </c>
      <c r="I42" s="76">
        <v>1</v>
      </c>
    </row>
    <row r="43" spans="1:9" ht="14" thickBot="1" x14ac:dyDescent="0.2">
      <c r="C43"/>
      <c r="D43"/>
      <c r="E43" s="72">
        <v>0.1</v>
      </c>
      <c r="F43" s="73">
        <v>0.5</v>
      </c>
      <c r="G43" s="74">
        <v>1</v>
      </c>
      <c r="H43" s="77">
        <v>20</v>
      </c>
      <c r="I43" s="77">
        <v>1</v>
      </c>
    </row>
    <row r="44" spans="1:9" x14ac:dyDescent="0.15">
      <c r="C44"/>
      <c r="D44"/>
      <c r="E44"/>
      <c r="F44"/>
      <c r="G44"/>
      <c r="H44"/>
      <c r="I44"/>
    </row>
    <row r="45" spans="1:9" x14ac:dyDescent="0.15">
      <c r="C45"/>
      <c r="D45"/>
      <c r="E45"/>
      <c r="F45"/>
      <c r="G45"/>
      <c r="H45"/>
      <c r="I45"/>
    </row>
    <row r="46" spans="1:9" x14ac:dyDescent="0.15">
      <c r="A46" s="64" t="s">
        <v>98</v>
      </c>
      <c r="B46" s="64" t="s">
        <v>99</v>
      </c>
      <c r="C46"/>
      <c r="D46"/>
      <c r="E46" s="79" t="s">
        <v>98</v>
      </c>
      <c r="F46" s="79" t="s">
        <v>99</v>
      </c>
      <c r="G46" s="79" t="s">
        <v>100</v>
      </c>
      <c r="H46"/>
      <c r="I46"/>
    </row>
    <row r="47" spans="1:9" x14ac:dyDescent="0.15">
      <c r="A47">
        <f t="array" aca="1" ref="A47:B47" ca="1">BiVarNormal(0, 1, 0, 2, 0.9)</f>
        <v>-1.1436247351838775</v>
      </c>
      <c r="B47">
        <f ca="1"/>
        <v>-2.0323844930663744</v>
      </c>
      <c r="C47"/>
      <c r="D47"/>
      <c r="E47" s="79">
        <f t="array" aca="1" ref="E47:G47" ca="1">MultivarNormal(3,$E$41:$G$43,$H$41:$H$43,$I$41:$I$43)</f>
        <v>1.5667946960281516</v>
      </c>
      <c r="F47" s="79">
        <f ca="1"/>
        <v>12.064364409017747</v>
      </c>
      <c r="G47" s="79">
        <f ca="1"/>
        <v>21.265779676867972</v>
      </c>
      <c r="H47"/>
      <c r="I47"/>
    </row>
    <row r="48" spans="1:9" x14ac:dyDescent="0.15">
      <c r="A48">
        <f t="array" aca="1" ref="A48:B48" ca="1">BiVarNormal(0, 1, 0, 2, 0.9)</f>
        <v>3.2721369870812254</v>
      </c>
      <c r="B48">
        <f ca="1"/>
        <v>5.3234886327729578</v>
      </c>
      <c r="C48"/>
      <c r="D48"/>
      <c r="E48" s="79">
        <f t="array" aca="1" ref="E48:G48" ca="1">MultivarNormal(3,$E$41:$G$43,$H$41:$H$43,$I$41:$I$43)</f>
        <v>-0.86867786737911168</v>
      </c>
      <c r="F48" s="79">
        <f ca="1"/>
        <v>9.2562255158463902</v>
      </c>
      <c r="G48" s="79">
        <f ca="1"/>
        <v>19.982758039414172</v>
      </c>
      <c r="H48"/>
      <c r="I48"/>
    </row>
    <row r="49" spans="1:9" x14ac:dyDescent="0.15">
      <c r="A49">
        <f t="array" aca="1" ref="A49:B49" ca="1">BiVarNormal(0, 1, 0, 2, 0.9)</f>
        <v>-0.25072902321340235</v>
      </c>
      <c r="B49">
        <f ca="1"/>
        <v>-0.36499642421407807</v>
      </c>
      <c r="C49"/>
      <c r="D49"/>
      <c r="E49" s="79">
        <f t="array" aca="1" ref="E49:G49" ca="1">MultivarNormal(3,$E$41:$G$43,$H$41:$H$43,$I$41:$I$43)</f>
        <v>-0.58038455445219317</v>
      </c>
      <c r="F49" s="79">
        <f ca="1"/>
        <v>9.6041425061210788</v>
      </c>
      <c r="G49" s="79">
        <f ca="1"/>
        <v>20.059712482855186</v>
      </c>
      <c r="H49"/>
      <c r="I49"/>
    </row>
    <row r="50" spans="1:9" x14ac:dyDescent="0.15">
      <c r="A50">
        <f t="array" aca="1" ref="A50:B50" ca="1">BiVarNormal(0, 1, 0, 2, 0.9)</f>
        <v>-3.1526389638480175</v>
      </c>
      <c r="B50">
        <f ca="1"/>
        <v>-5.2921259239144094</v>
      </c>
      <c r="C50"/>
      <c r="D50"/>
      <c r="E50" s="79">
        <f t="array" aca="1" ref="E50:G50" ca="1">MultivarNormal(3,$E$41:$G$43,$H$41:$H$43,$I$41:$I$43)</f>
        <v>0.23526515895278322</v>
      </c>
      <c r="F50" s="79">
        <f ca="1"/>
        <v>9.8656117719742795</v>
      </c>
      <c r="G50" s="79">
        <f ca="1"/>
        <v>19.154957896111032</v>
      </c>
      <c r="H50"/>
      <c r="I50"/>
    </row>
    <row r="51" spans="1:9" x14ac:dyDescent="0.15">
      <c r="A51">
        <f t="array" aca="1" ref="A51:B51" ca="1">BiVarNormal(0, 1, 0, 2, 0.9)</f>
        <v>0.2083132208397355</v>
      </c>
      <c r="B51">
        <f ca="1"/>
        <v>1.5980280595639729</v>
      </c>
      <c r="C51"/>
      <c r="D51"/>
      <c r="E51" s="79">
        <f t="array" aca="1" ref="E51:G51" ca="1">MultivarNormal(3,$E$41:$G$43,$H$41:$H$43,$I$41:$I$43)</f>
        <v>-0.75502598364573903</v>
      </c>
      <c r="F51" s="79">
        <f ca="1"/>
        <v>9.1980394201231928</v>
      </c>
      <c r="G51" s="79">
        <f ca="1"/>
        <v>19.652152515101292</v>
      </c>
      <c r="H51"/>
      <c r="I51"/>
    </row>
    <row r="52" spans="1:9" x14ac:dyDescent="0.15">
      <c r="A52">
        <f t="array" aca="1" ref="A52:B52" ca="1">BiVarNormal(0, 1, 0, 2, 0.9)</f>
        <v>-1.9940902894607386</v>
      </c>
      <c r="B52">
        <f ca="1"/>
        <v>-3.0230477356080598</v>
      </c>
      <c r="C52"/>
      <c r="D52"/>
      <c r="E52" s="79">
        <f t="array" aca="1" ref="E52:G52" ca="1">MultivarNormal(3,$E$41:$G$43,$H$41:$H$43,$I$41:$I$43)</f>
        <v>1.5256841012531457</v>
      </c>
      <c r="F52" s="79">
        <f ca="1"/>
        <v>11.232278433252343</v>
      </c>
      <c r="G52" s="79">
        <f ca="1"/>
        <v>19.314433744325875</v>
      </c>
      <c r="H52"/>
      <c r="I52"/>
    </row>
    <row r="53" spans="1:9" x14ac:dyDescent="0.15">
      <c r="A53">
        <f t="array" aca="1" ref="A53:B53" ca="1">BiVarNormal(0, 1, 0, 2, 0.9)</f>
        <v>0.93251827185488512</v>
      </c>
      <c r="B53">
        <f ca="1"/>
        <v>1.2912782366627622</v>
      </c>
      <c r="C53"/>
      <c r="D53"/>
      <c r="E53" s="79">
        <f t="array" aca="1" ref="E53:G53" ca="1">MultivarNormal(3,$E$41:$G$43,$H$41:$H$43,$I$41:$I$43)</f>
        <v>0.34685663615398288</v>
      </c>
      <c r="F53" s="79">
        <f ca="1"/>
        <v>10.782440470419267</v>
      </c>
      <c r="G53" s="79">
        <f ca="1"/>
        <v>20.782572965532964</v>
      </c>
      <c r="H53"/>
      <c r="I53"/>
    </row>
    <row r="54" spans="1:9" x14ac:dyDescent="0.15">
      <c r="A54">
        <f t="array" aca="1" ref="A54:B54" ca="1">BiVarNormal(0, 1, 0, 2, 0.9)</f>
        <v>-0.10900026432818286</v>
      </c>
      <c r="B54">
        <f ca="1"/>
        <v>-0.5218256220771671</v>
      </c>
      <c r="C54"/>
      <c r="D54"/>
      <c r="E54" s="79">
        <f t="array" aca="1" ref="E54:G54" ca="1">MultivarNormal(3,$E$41:$G$43,$H$41:$H$43,$I$41:$I$43)</f>
        <v>0.4244223519211589</v>
      </c>
      <c r="F54" s="79">
        <f ca="1"/>
        <v>10.38090187850235</v>
      </c>
      <c r="G54" s="79">
        <f ca="1"/>
        <v>20.326989945864621</v>
      </c>
      <c r="H54"/>
      <c r="I54"/>
    </row>
    <row r="55" spans="1:9" x14ac:dyDescent="0.15">
      <c r="A55">
        <f t="array" aca="1" ref="A55:B55" ca="1">BiVarNormal(0, 1, 0, 2, 0.9)</f>
        <v>-0.33070877066145898</v>
      </c>
      <c r="B55">
        <f ca="1"/>
        <v>-1.508454978173192</v>
      </c>
      <c r="C55"/>
      <c r="D55"/>
      <c r="E55" s="79">
        <f t="array" aca="1" ref="E55:G55" ca="1">MultivarNormal(3,$E$41:$G$43,$H$41:$H$43,$I$41:$I$43)</f>
        <v>-1.2111008344639613</v>
      </c>
      <c r="F55" s="79">
        <f ca="1"/>
        <v>8.2810309923904093</v>
      </c>
      <c r="G55" s="79">
        <f ca="1"/>
        <v>18.075370107749187</v>
      </c>
      <c r="H55"/>
      <c r="I55"/>
    </row>
    <row r="56" spans="1:9" x14ac:dyDescent="0.15">
      <c r="A56">
        <f t="array" aca="1" ref="A56:B56" ca="1">BiVarNormal(0, 1, 0, 2, 0.9)</f>
        <v>-0.13595677640306073</v>
      </c>
      <c r="B56">
        <f ca="1"/>
        <v>1.2406183339622874</v>
      </c>
      <c r="C56"/>
      <c r="D56"/>
      <c r="E56" s="79">
        <f t="array" aca="1" ref="E56:G56" ca="1">MultivarNormal(3,$E$41:$G$43,$H$41:$H$43,$I$41:$I$43)</f>
        <v>-1.0918357588607397</v>
      </c>
      <c r="F56" s="79">
        <f ca="1"/>
        <v>9.1265397735002622</v>
      </c>
      <c r="G56" s="79">
        <f ca="1"/>
        <v>20.698893670791019</v>
      </c>
      <c r="H56"/>
      <c r="I56"/>
    </row>
    <row r="57" spans="1:9" x14ac:dyDescent="0.15">
      <c r="C57"/>
      <c r="D57"/>
      <c r="E57" s="79">
        <f t="array" aca="1" ref="E57:G57" ca="1">MultivarNormal(3,$E$41:$G$43,$H$41:$H$43,$I$41:$I$43)</f>
        <v>-0.10044926998262106</v>
      </c>
      <c r="F57" s="79">
        <f ca="1"/>
        <v>10.07588197002233</v>
      </c>
      <c r="G57" s="79">
        <f ca="1"/>
        <v>20.621842451970544</v>
      </c>
      <c r="H57"/>
      <c r="I57"/>
    </row>
    <row r="58" spans="1:9" x14ac:dyDescent="0.15">
      <c r="A58"/>
      <c r="B58"/>
      <c r="C58"/>
      <c r="D58"/>
      <c r="E58" s="79">
        <f t="array" aca="1" ref="E58:G58" ca="1">MultivarNormal(3,$E$41:$G$43,$H$41:$H$43,$I$41:$I$43)</f>
        <v>0.97478981721422231</v>
      </c>
      <c r="F58" s="79">
        <f ca="1"/>
        <v>11.229490341504276</v>
      </c>
      <c r="G58" s="79">
        <f ca="1"/>
        <v>20.989986674843223</v>
      </c>
      <c r="H58"/>
      <c r="I58"/>
    </row>
    <row r="59" spans="1:9" x14ac:dyDescent="0.15">
      <c r="A59"/>
      <c r="B59"/>
      <c r="C59"/>
      <c r="D59"/>
      <c r="E59" s="79">
        <f t="array" aca="1" ref="E59:G59" ca="1">MultivarNormal(3,$E$41:$G$43,$H$41:$H$43,$I$41:$I$43)</f>
        <v>0.29305699357642201</v>
      </c>
      <c r="F59" s="79">
        <f ca="1"/>
        <v>10.328601611493669</v>
      </c>
      <c r="G59" s="79">
        <f ca="1"/>
        <v>20.175567068148073</v>
      </c>
      <c r="H59"/>
      <c r="I59"/>
    </row>
    <row r="60" spans="1:9" x14ac:dyDescent="0.15">
      <c r="A60"/>
      <c r="B60"/>
      <c r="C60"/>
      <c r="D60"/>
      <c r="E60"/>
      <c r="F60"/>
      <c r="G60"/>
      <c r="H60"/>
      <c r="I60"/>
    </row>
    <row r="61" spans="1:9" x14ac:dyDescent="0.15">
      <c r="A61" t="s">
        <v>101</v>
      </c>
      <c r="B61"/>
      <c r="C61"/>
      <c r="D61"/>
      <c r="E61" t="s">
        <v>101</v>
      </c>
      <c r="F61"/>
      <c r="G61"/>
      <c r="H61"/>
      <c r="I61"/>
    </row>
    <row r="62" spans="1:9" x14ac:dyDescent="0.15">
      <c r="A62" s="65" t="s">
        <v>103</v>
      </c>
      <c r="B62" s="44">
        <f ca="1">CORREL(A47:A56,B47:B56)</f>
        <v>0.96835322083616171</v>
      </c>
      <c r="C62"/>
      <c r="D62"/>
      <c r="E62" s="44">
        <v>1</v>
      </c>
      <c r="F62" s="44"/>
      <c r="G62" s="44"/>
      <c r="H62" s="44">
        <f ca="1">AVERAGE(E47:E59)</f>
        <v>5.8415037408884679E-2</v>
      </c>
      <c r="I62" s="44">
        <f ca="1">STDEVP(E47:E59)</f>
        <v>0.89702761038824042</v>
      </c>
    </row>
    <row r="63" spans="1:9" x14ac:dyDescent="0.15">
      <c r="A63"/>
      <c r="B63"/>
      <c r="C63"/>
      <c r="D63"/>
      <c r="E63" s="44">
        <f ca="1">CORREL(E47:E59,F47:F59)</f>
        <v>0.96007027167386483</v>
      </c>
      <c r="F63" s="44">
        <v>1</v>
      </c>
      <c r="G63" s="44"/>
      <c r="H63" s="44">
        <f ca="1">AVERAGE(F47:F59)</f>
        <v>10.109657622628278</v>
      </c>
      <c r="I63" s="44">
        <f ca="1">STDEVP(F47:F59)</f>
        <v>1.0036611047489647</v>
      </c>
    </row>
    <row r="64" spans="1:9" x14ac:dyDescent="0.15">
      <c r="A64"/>
      <c r="B64"/>
      <c r="C64"/>
      <c r="D64"/>
      <c r="E64" s="44">
        <f ca="1">CORREL(E47:E59,G47:G59)</f>
        <v>0.3939256458889957</v>
      </c>
      <c r="F64" s="44">
        <f ca="1">CORREL(F47:F59,G47:G59)</f>
        <v>0.62070090247684961</v>
      </c>
      <c r="G64" s="44">
        <v>1</v>
      </c>
      <c r="H64" s="44">
        <f ca="1">AVERAGE(G47:G59)</f>
        <v>20.084693633813476</v>
      </c>
      <c r="I64" s="44">
        <f ca="1">STDEVP(G47:G59)</f>
        <v>0.83792270294524573</v>
      </c>
    </row>
  </sheetData>
  <mergeCells count="1">
    <mergeCell ref="E40:G40"/>
  </mergeCells>
  <phoneticPr fontId="15" type="noConversion"/>
  <pageMargins left="0.75" right="0.75" top="1" bottom="1" header="0.5" footer="0.5"/>
  <pageSetup orientation="portrait"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B501"/>
  <sheetViews>
    <sheetView showGridLines="0" workbookViewId="0">
      <selection activeCell="K6" sqref="K6"/>
    </sheetView>
  </sheetViews>
  <sheetFormatPr baseColWidth="10" defaultColWidth="11.5" defaultRowHeight="12" x14ac:dyDescent="0.15"/>
  <cols>
    <col min="1" max="1" width="11.5" style="89" customWidth="1"/>
    <col min="2" max="2" width="15.5" style="86" customWidth="1"/>
    <col min="3" max="5" width="11.5" style="86" customWidth="1"/>
    <col min="6" max="6" width="15.33203125" style="86" customWidth="1"/>
    <col min="7" max="30" width="11.5" style="86"/>
    <col min="31" max="31" width="11.5" style="88"/>
    <col min="32" max="53" width="11.5" style="78"/>
    <col min="54" max="54" width="11.5" style="82"/>
  </cols>
  <sheetData>
    <row r="1" spans="1:54" x14ac:dyDescent="0.15">
      <c r="A1" s="83"/>
      <c r="B1" s="84"/>
      <c r="C1" s="84"/>
      <c r="D1" s="84"/>
      <c r="E1" s="84" t="s">
        <v>118</v>
      </c>
      <c r="F1" s="84"/>
      <c r="G1" s="84"/>
      <c r="H1" s="84"/>
      <c r="I1" s="84"/>
      <c r="J1" s="44" t="s">
        <v>62</v>
      </c>
      <c r="K1" s="44">
        <f ca="1">AVERAGE(E$3:E$501)</f>
        <v>1.0306628495674751E-3</v>
      </c>
      <c r="L1" s="44">
        <f ca="1">AVERAGE(F$3:F$501)</f>
        <v>7.6843999922953949E-4</v>
      </c>
      <c r="M1" s="44">
        <f ca="1">AVERAGE(G$3:G$501)</f>
        <v>5.3318796004926585E-4</v>
      </c>
      <c r="N1" s="84"/>
      <c r="O1" s="84"/>
      <c r="P1" s="84"/>
      <c r="Q1" s="84"/>
      <c r="R1" s="84"/>
      <c r="S1" s="84"/>
      <c r="T1" s="84"/>
      <c r="U1" s="84"/>
      <c r="V1" s="84"/>
      <c r="W1" s="84"/>
      <c r="X1" s="84"/>
      <c r="Y1" s="84"/>
      <c r="Z1" s="84"/>
      <c r="AA1" s="84"/>
      <c r="AB1" s="84"/>
      <c r="AC1" s="84"/>
      <c r="AD1" s="84"/>
      <c r="AE1" s="85"/>
      <c r="AF1" s="80"/>
      <c r="AG1" s="80"/>
      <c r="AH1" s="80"/>
      <c r="AI1" s="80"/>
      <c r="AJ1" s="80"/>
      <c r="AK1" s="80"/>
      <c r="AL1" s="80"/>
      <c r="AM1" s="80"/>
      <c r="AN1" s="80"/>
      <c r="AO1" s="80"/>
      <c r="AP1" s="80"/>
      <c r="AQ1" s="80"/>
      <c r="AR1" s="80"/>
      <c r="AS1" s="80"/>
      <c r="AT1" s="80"/>
      <c r="AU1" s="80"/>
      <c r="AV1" s="80"/>
      <c r="AW1" s="80"/>
      <c r="AX1" s="80"/>
      <c r="AY1" s="80"/>
      <c r="AZ1" s="80"/>
      <c r="BA1" s="80"/>
      <c r="BB1" s="81"/>
    </row>
    <row r="2" spans="1:54" x14ac:dyDescent="0.15">
      <c r="A2" s="103" t="s">
        <v>117</v>
      </c>
      <c r="B2" s="104"/>
      <c r="C2" s="104"/>
      <c r="E2" s="87" t="s">
        <v>116</v>
      </c>
      <c r="I2" s="87"/>
      <c r="J2" s="44" t="s">
        <v>119</v>
      </c>
      <c r="K2" s="44">
        <f ca="1">STDEVP(E$3:E$501)</f>
        <v>1.5979715572687379E-2</v>
      </c>
      <c r="L2" s="44">
        <f ca="1">STDEVP(F$3:F$501)</f>
        <v>1.549544032431005E-2</v>
      </c>
      <c r="M2" s="44">
        <f ca="1">STDEVP(G$3:G$501)</f>
        <v>7.6966580150005419E-3</v>
      </c>
    </row>
    <row r="3" spans="1:54" x14ac:dyDescent="0.15">
      <c r="A3" s="89">
        <v>1</v>
      </c>
      <c r="E3" s="86">
        <f t="array" aca="1" ref="E3:G91" ca="1">MultivarXs(3, 500, A$3:C$5, A$7:A$9, B$7:B$9)</f>
        <v>-1.4592130515267749E-2</v>
      </c>
      <c r="F3" s="86">
        <f ca="1"/>
        <v>4.68293541805875E-3</v>
      </c>
      <c r="G3" s="86">
        <f ca="1"/>
        <v>-1.2803198101927077E-3</v>
      </c>
      <c r="J3"/>
      <c r="K3"/>
      <c r="L3"/>
      <c r="M3"/>
    </row>
    <row r="4" spans="1:54" ht="15" x14ac:dyDescent="0.2">
      <c r="A4" s="110">
        <v>0.41803869980000002</v>
      </c>
      <c r="B4" s="86">
        <v>1</v>
      </c>
      <c r="E4" s="86">
        <f ca="1"/>
        <v>9.6435645856917732E-3</v>
      </c>
      <c r="F4" s="86">
        <f ca="1"/>
        <v>3.001430471094587E-4</v>
      </c>
      <c r="G4" s="86">
        <f ca="1"/>
        <v>7.3656815963994504E-3</v>
      </c>
      <c r="J4"/>
      <c r="K4" s="108" t="s">
        <v>117</v>
      </c>
      <c r="L4" s="108"/>
      <c r="M4" s="109"/>
    </row>
    <row r="5" spans="1:54" ht="15" x14ac:dyDescent="0.2">
      <c r="A5" s="110">
        <v>0.2537095191</v>
      </c>
      <c r="B5" s="110">
        <v>0.39013297790000001</v>
      </c>
      <c r="C5" s="86">
        <v>1</v>
      </c>
      <c r="E5" s="86">
        <f ca="1"/>
        <v>-7.4305025026507694E-3</v>
      </c>
      <c r="F5" s="86">
        <f ca="1"/>
        <v>7.8235983629361891E-3</v>
      </c>
      <c r="G5" s="86">
        <f ca="1"/>
        <v>7.7590728179373868E-3</v>
      </c>
      <c r="J5"/>
      <c r="K5" s="44">
        <f ca="1">CORREL(E$3:E$501,E$3:E$501)</f>
        <v>1</v>
      </c>
      <c r="L5" s="44"/>
      <c r="M5" s="44"/>
    </row>
    <row r="6" spans="1:54" x14ac:dyDescent="0.15">
      <c r="A6" s="89" t="s">
        <v>53</v>
      </c>
      <c r="B6" s="90" t="s">
        <v>54</v>
      </c>
      <c r="E6" s="86">
        <f ca="1"/>
        <v>1.1975221108632649E-2</v>
      </c>
      <c r="F6" s="86">
        <f ca="1"/>
        <v>-1.9561553053216562E-2</v>
      </c>
      <c r="G6" s="86">
        <f ca="1"/>
        <v>-1.6178112369829682E-3</v>
      </c>
      <c r="J6"/>
      <c r="K6" s="44">
        <f ca="1">CORREL(F$3:F$501,E$3:E$501)</f>
        <v>0.36520386481155503</v>
      </c>
      <c r="L6" s="44">
        <f ca="1">CORREL(F$3:F$501,F$3:F$501)</f>
        <v>1.0000000000000002</v>
      </c>
      <c r="M6" s="44"/>
    </row>
    <row r="7" spans="1:54" ht="15" x14ac:dyDescent="0.2">
      <c r="A7" s="111">
        <v>8.9453760759999998E-4</v>
      </c>
      <c r="B7" s="111">
        <v>1.5617233479999999E-2</v>
      </c>
      <c r="E7" s="86">
        <f ca="1"/>
        <v>-1.6459718843316828E-2</v>
      </c>
      <c r="F7" s="86">
        <f ca="1"/>
        <v>-3.2161710006082568E-2</v>
      </c>
      <c r="G7" s="86">
        <f ca="1"/>
        <v>-2.0117103575453817E-2</v>
      </c>
      <c r="J7"/>
      <c r="K7" s="44">
        <f ca="1">CORREL(G$3:G$501,E$3:E$501)</f>
        <v>0.23445156175794404</v>
      </c>
      <c r="L7" s="44">
        <f ca="1">CORREL(G$3:G$501,F$3:F$501)</f>
        <v>0.35194812121628394</v>
      </c>
      <c r="M7" s="44">
        <f ca="1">CORREL(G$3:G$501,G$3:G$501)</f>
        <v>1.0000000000000002</v>
      </c>
    </row>
    <row r="8" spans="1:54" ht="15" x14ac:dyDescent="0.2">
      <c r="A8" s="111">
        <v>4.3843782889999998E-4</v>
      </c>
      <c r="B8" s="111">
        <v>1.6173143649999999E-2</v>
      </c>
      <c r="E8" s="86">
        <f ca="1"/>
        <v>-1.5682079360679387E-2</v>
      </c>
      <c r="F8" s="86">
        <f ca="1"/>
        <v>-2.7331195830378473E-2</v>
      </c>
      <c r="G8" s="86">
        <f ca="1"/>
        <v>6.1940439004450386E-3</v>
      </c>
    </row>
    <row r="9" spans="1:54" ht="15" x14ac:dyDescent="0.2">
      <c r="A9" s="111">
        <v>2.9364778709999999E-4</v>
      </c>
      <c r="B9" s="111">
        <v>7.1619882899999999E-3</v>
      </c>
      <c r="E9" s="86">
        <f ca="1"/>
        <v>-3.7884150294489726E-3</v>
      </c>
      <c r="F9" s="86">
        <f ca="1"/>
        <v>-1.4263591846503916E-2</v>
      </c>
      <c r="G9" s="86">
        <f ca="1"/>
        <v>3.0100355519572112E-3</v>
      </c>
    </row>
    <row r="10" spans="1:54" x14ac:dyDescent="0.15">
      <c r="E10" s="86">
        <f ca="1"/>
        <v>-9.4043651597223582E-3</v>
      </c>
      <c r="F10" s="86">
        <f ca="1"/>
        <v>3.1402803065388378E-3</v>
      </c>
      <c r="G10" s="86">
        <f ca="1"/>
        <v>-8.6213719772838641E-3</v>
      </c>
    </row>
    <row r="11" spans="1:54" x14ac:dyDescent="0.15">
      <c r="E11" s="86">
        <f ca="1"/>
        <v>2.1563338205343303E-2</v>
      </c>
      <c r="F11" s="86">
        <f ca="1"/>
        <v>1.6400429640127976E-2</v>
      </c>
      <c r="G11" s="86">
        <f ca="1"/>
        <v>-6.9563333104045771E-4</v>
      </c>
    </row>
    <row r="12" spans="1:54" x14ac:dyDescent="0.15">
      <c r="E12" s="86">
        <f ca="1"/>
        <v>3.2040512282544675E-2</v>
      </c>
      <c r="F12" s="86">
        <f ca="1"/>
        <v>1.0578044349527872E-2</v>
      </c>
      <c r="G12" s="86">
        <f ca="1"/>
        <v>7.1506699505586311E-3</v>
      </c>
    </row>
    <row r="13" spans="1:54" x14ac:dyDescent="0.15">
      <c r="E13" s="86">
        <f ca="1"/>
        <v>-2.4184293186266356E-2</v>
      </c>
      <c r="F13" s="86">
        <f ca="1"/>
        <v>1.0440972999718847E-2</v>
      </c>
      <c r="G13" s="86">
        <f ca="1"/>
        <v>-2.8823736376895593E-3</v>
      </c>
    </row>
    <row r="14" spans="1:54" x14ac:dyDescent="0.15">
      <c r="E14" s="86">
        <f ca="1"/>
        <v>1.0854236632816198E-2</v>
      </c>
      <c r="F14" s="86">
        <f ca="1"/>
        <v>1.8134056361895148E-2</v>
      </c>
      <c r="G14" s="86">
        <f ca="1"/>
        <v>-3.3688189419275302E-4</v>
      </c>
    </row>
    <row r="15" spans="1:54" x14ac:dyDescent="0.15">
      <c r="E15" s="86">
        <f ca="1"/>
        <v>-1.7317625133369874E-2</v>
      </c>
      <c r="F15" s="86">
        <f ca="1"/>
        <v>8.7940802528474482E-4</v>
      </c>
      <c r="G15" s="86">
        <f ca="1"/>
        <v>6.2726374776561405E-3</v>
      </c>
    </row>
    <row r="16" spans="1:54" x14ac:dyDescent="0.15">
      <c r="E16" s="86">
        <f ca="1"/>
        <v>8.1976673510248867E-3</v>
      </c>
      <c r="F16" s="86">
        <f ca="1"/>
        <v>-7.5804644220618042E-3</v>
      </c>
      <c r="G16" s="86">
        <f ca="1"/>
        <v>-1.3014687828753234E-3</v>
      </c>
      <c r="I16" s="105"/>
      <c r="J16" s="106"/>
      <c r="K16" s="107"/>
    </row>
    <row r="17" spans="1:7" x14ac:dyDescent="0.15">
      <c r="E17" s="86">
        <f ca="1"/>
        <v>-8.5004753734459516E-3</v>
      </c>
      <c r="F17" s="86">
        <f ca="1"/>
        <v>4.243593124980365E-3</v>
      </c>
      <c r="G17" s="86">
        <f ca="1"/>
        <v>6.7197671844003209E-4</v>
      </c>
    </row>
    <row r="18" spans="1:7" x14ac:dyDescent="0.15">
      <c r="E18" s="86">
        <f ca="1"/>
        <v>-8.748391431865201E-3</v>
      </c>
      <c r="F18" s="86">
        <f ca="1"/>
        <v>2.8458325858137415E-2</v>
      </c>
      <c r="G18" s="86">
        <f ca="1"/>
        <v>-3.8527080833809556E-3</v>
      </c>
    </row>
    <row r="19" spans="1:7" x14ac:dyDescent="0.15">
      <c r="E19" s="86">
        <f ca="1"/>
        <v>1.4929211491024653E-2</v>
      </c>
      <c r="F19" s="86">
        <f ca="1"/>
        <v>2.6375264860176259E-2</v>
      </c>
      <c r="G19" s="86">
        <f ca="1"/>
        <v>1.1103541295942685E-2</v>
      </c>
    </row>
    <row r="20" spans="1:7" x14ac:dyDescent="0.15">
      <c r="E20" s="86">
        <f ca="1"/>
        <v>3.9019411790294839E-3</v>
      </c>
      <c r="F20" s="86">
        <f ca="1"/>
        <v>7.6971897092094506E-4</v>
      </c>
      <c r="G20" s="86">
        <f ca="1"/>
        <v>-9.2303242552506399E-3</v>
      </c>
    </row>
    <row r="21" spans="1:7" x14ac:dyDescent="0.15">
      <c r="E21" s="86">
        <f ca="1"/>
        <v>1.7167051217418239E-2</v>
      </c>
      <c r="F21" s="86">
        <f ca="1"/>
        <v>1.7558657561464866E-2</v>
      </c>
      <c r="G21" s="86">
        <f ca="1"/>
        <v>8.6613348515806477E-3</v>
      </c>
    </row>
    <row r="22" spans="1:7" x14ac:dyDescent="0.15">
      <c r="E22" s="86">
        <f ca="1"/>
        <v>1.0864977723786522E-3</v>
      </c>
      <c r="F22" s="86">
        <f ca="1"/>
        <v>2.3724780363572128E-4</v>
      </c>
      <c r="G22" s="86">
        <f ca="1"/>
        <v>1.950904612987448E-3</v>
      </c>
    </row>
    <row r="23" spans="1:7" x14ac:dyDescent="0.15">
      <c r="E23" s="86">
        <f ca="1"/>
        <v>3.2093937989745476E-2</v>
      </c>
      <c r="F23" s="86">
        <f ca="1"/>
        <v>1.5195583774246353E-2</v>
      </c>
      <c r="G23" s="86">
        <f ca="1"/>
        <v>-4.5336823330849639E-3</v>
      </c>
    </row>
    <row r="24" spans="1:7" x14ac:dyDescent="0.15">
      <c r="A24" s="91"/>
      <c r="E24" s="86">
        <f ca="1"/>
        <v>-6.8617525253980051E-4</v>
      </c>
      <c r="F24" s="86">
        <f ca="1"/>
        <v>-1.5160596897611055E-2</v>
      </c>
      <c r="G24" s="86">
        <f ca="1"/>
        <v>1.8319228960067977E-4</v>
      </c>
    </row>
    <row r="25" spans="1:7" x14ac:dyDescent="0.15">
      <c r="E25" s="86">
        <f ca="1"/>
        <v>-7.9522078151023981E-3</v>
      </c>
      <c r="F25" s="86">
        <f ca="1"/>
        <v>-7.6579648070749214E-3</v>
      </c>
      <c r="G25" s="86">
        <f ca="1"/>
        <v>-3.4351862587512307E-3</v>
      </c>
    </row>
    <row r="26" spans="1:7" x14ac:dyDescent="0.15">
      <c r="E26" s="86">
        <f ca="1"/>
        <v>1.4073374294731768E-2</v>
      </c>
      <c r="F26" s="86">
        <f ca="1"/>
        <v>2.4820936180607465E-2</v>
      </c>
      <c r="G26" s="86">
        <f ca="1"/>
        <v>-8.1135441487980057E-4</v>
      </c>
    </row>
    <row r="27" spans="1:7" x14ac:dyDescent="0.15">
      <c r="E27" s="86">
        <f ca="1"/>
        <v>2.3837009775203987E-2</v>
      </c>
      <c r="F27" s="86">
        <f ca="1"/>
        <v>-2.5897273718952312E-3</v>
      </c>
      <c r="G27" s="86">
        <f ca="1"/>
        <v>5.5421286608459252E-3</v>
      </c>
    </row>
    <row r="28" spans="1:7" x14ac:dyDescent="0.15">
      <c r="E28" s="86">
        <f ca="1"/>
        <v>1.6354340514823401E-2</v>
      </c>
      <c r="F28" s="86">
        <f ca="1"/>
        <v>-4.7933028209800254E-3</v>
      </c>
      <c r="G28" s="86">
        <f ca="1"/>
        <v>8.9543566507802614E-3</v>
      </c>
    </row>
    <row r="29" spans="1:7" x14ac:dyDescent="0.15">
      <c r="E29" s="86">
        <f ca="1"/>
        <v>-1.2843091082389083E-2</v>
      </c>
      <c r="F29" s="86">
        <f ca="1"/>
        <v>-1.725882628583306E-2</v>
      </c>
      <c r="G29" s="86">
        <f ca="1"/>
        <v>-8.5906115235012456E-3</v>
      </c>
    </row>
    <row r="30" spans="1:7" x14ac:dyDescent="0.15">
      <c r="E30" s="86">
        <f ca="1"/>
        <v>9.3307948291054665E-3</v>
      </c>
      <c r="F30" s="86">
        <f ca="1"/>
        <v>-1.2443120417402623E-2</v>
      </c>
      <c r="G30" s="86">
        <f ca="1"/>
        <v>2.3779717865397378E-3</v>
      </c>
    </row>
    <row r="31" spans="1:7" x14ac:dyDescent="0.15">
      <c r="E31" s="86">
        <f ca="1"/>
        <v>9.5844593124921277E-3</v>
      </c>
      <c r="F31" s="86">
        <f ca="1"/>
        <v>4.6010777648168048E-3</v>
      </c>
      <c r="G31" s="86">
        <f ca="1"/>
        <v>-5.0119968874278225E-3</v>
      </c>
    </row>
    <row r="32" spans="1:7" x14ac:dyDescent="0.15">
      <c r="E32" s="86">
        <f ca="1"/>
        <v>3.5185988617514002E-3</v>
      </c>
      <c r="F32" s="86">
        <f ca="1"/>
        <v>-8.576050780575906E-3</v>
      </c>
      <c r="G32" s="86">
        <f ca="1"/>
        <v>2.874427196654089E-3</v>
      </c>
    </row>
    <row r="33" spans="1:7" x14ac:dyDescent="0.15">
      <c r="E33" s="86">
        <f ca="1"/>
        <v>-2.0254343208336995E-2</v>
      </c>
      <c r="F33" s="86">
        <f ca="1"/>
        <v>1.342081156759896E-2</v>
      </c>
      <c r="G33" s="86">
        <f ca="1"/>
        <v>-1.4858232797610748E-3</v>
      </c>
    </row>
    <row r="34" spans="1:7" x14ac:dyDescent="0.15">
      <c r="E34" s="86">
        <f ca="1"/>
        <v>1.6906257014173295E-2</v>
      </c>
      <c r="F34" s="86">
        <f ca="1"/>
        <v>1.415070329733906E-2</v>
      </c>
      <c r="G34" s="86">
        <f ca="1"/>
        <v>-7.6316105498779702E-4</v>
      </c>
    </row>
    <row r="35" spans="1:7" x14ac:dyDescent="0.15">
      <c r="E35" s="86">
        <f ca="1"/>
        <v>-1.6400360076741293E-2</v>
      </c>
      <c r="F35" s="86">
        <f ca="1"/>
        <v>-2.6109035918430938E-2</v>
      </c>
      <c r="G35" s="86">
        <f ca="1"/>
        <v>1.5796742773257794E-3</v>
      </c>
    </row>
    <row r="36" spans="1:7" x14ac:dyDescent="0.15">
      <c r="E36" s="86">
        <f ca="1"/>
        <v>-2.261316789303805E-2</v>
      </c>
      <c r="F36" s="86">
        <f ca="1"/>
        <v>-1.9084991445818468E-2</v>
      </c>
      <c r="G36" s="86">
        <f ca="1"/>
        <v>-2.4424416967393542E-3</v>
      </c>
    </row>
    <row r="37" spans="1:7" x14ac:dyDescent="0.15">
      <c r="E37" s="86">
        <f ca="1"/>
        <v>3.2973371133139494E-2</v>
      </c>
      <c r="F37" s="86">
        <f ca="1"/>
        <v>2.26016459147854E-2</v>
      </c>
      <c r="G37" s="86">
        <f ca="1"/>
        <v>1.1398728094260456E-2</v>
      </c>
    </row>
    <row r="38" spans="1:7" x14ac:dyDescent="0.15">
      <c r="E38" s="86">
        <f ca="1"/>
        <v>-6.0991210031512942E-3</v>
      </c>
      <c r="F38" s="86">
        <f ca="1"/>
        <v>-1.3039370008969009E-2</v>
      </c>
      <c r="G38" s="86">
        <f ca="1"/>
        <v>-7.7893136098376699E-3</v>
      </c>
    </row>
    <row r="39" spans="1:7" x14ac:dyDescent="0.15">
      <c r="E39" s="86">
        <f ca="1"/>
        <v>-2.6001716603525946E-4</v>
      </c>
      <c r="F39" s="86">
        <f ca="1"/>
        <v>-8.6632675555511872E-3</v>
      </c>
      <c r="G39" s="86">
        <f ca="1"/>
        <v>-9.7527846076606011E-3</v>
      </c>
    </row>
    <row r="40" spans="1:7" x14ac:dyDescent="0.15">
      <c r="A40" s="91"/>
      <c r="E40" s="86">
        <f ca="1"/>
        <v>-5.1332743576910965E-3</v>
      </c>
      <c r="F40" s="86">
        <f ca="1"/>
        <v>-5.342115855418255E-3</v>
      </c>
      <c r="G40" s="86">
        <f ca="1"/>
        <v>-3.763151662906365E-3</v>
      </c>
    </row>
    <row r="41" spans="1:7" x14ac:dyDescent="0.15">
      <c r="E41" s="86">
        <f ca="1"/>
        <v>-9.0619063816789712E-3</v>
      </c>
      <c r="F41" s="86">
        <f ca="1"/>
        <v>7.5061839002159431E-3</v>
      </c>
      <c r="G41" s="86">
        <f ca="1"/>
        <v>-1.5860814450167154E-3</v>
      </c>
    </row>
    <row r="42" spans="1:7" x14ac:dyDescent="0.15">
      <c r="E42" s="86">
        <f ca="1"/>
        <v>5.5259252183024058E-3</v>
      </c>
      <c r="F42" s="86">
        <f ca="1"/>
        <v>1.226366513749119E-2</v>
      </c>
      <c r="G42" s="86">
        <f ca="1"/>
        <v>-1.2300798416652698E-3</v>
      </c>
    </row>
    <row r="43" spans="1:7" x14ac:dyDescent="0.15">
      <c r="E43" s="86">
        <f ca="1"/>
        <v>-3.2381978928229917E-4</v>
      </c>
      <c r="F43" s="86">
        <f ca="1"/>
        <v>-1.4127449941245217E-2</v>
      </c>
      <c r="G43" s="86">
        <f ca="1"/>
        <v>-8.4868398904699056E-3</v>
      </c>
    </row>
    <row r="44" spans="1:7" x14ac:dyDescent="0.15">
      <c r="E44" s="86">
        <f ca="1"/>
        <v>-1.1480587178933781E-2</v>
      </c>
      <c r="F44" s="86">
        <f ca="1"/>
        <v>1.230474678098667E-2</v>
      </c>
      <c r="G44" s="86">
        <f ca="1"/>
        <v>-7.2815685743813485E-3</v>
      </c>
    </row>
    <row r="45" spans="1:7" x14ac:dyDescent="0.15">
      <c r="E45" s="86">
        <f ca="1"/>
        <v>-3.4315603156880557E-2</v>
      </c>
      <c r="F45" s="86">
        <f ca="1"/>
        <v>-2.2910284675428015E-2</v>
      </c>
      <c r="G45" s="86">
        <f ca="1"/>
        <v>3.2369822405278748E-3</v>
      </c>
    </row>
    <row r="46" spans="1:7" x14ac:dyDescent="0.15">
      <c r="E46" s="86">
        <f ca="1"/>
        <v>4.3291938841626488E-3</v>
      </c>
      <c r="F46" s="86">
        <f ca="1"/>
        <v>-3.3521387962119971E-3</v>
      </c>
      <c r="G46" s="86">
        <f ca="1"/>
        <v>-5.893142638067483E-3</v>
      </c>
    </row>
    <row r="47" spans="1:7" x14ac:dyDescent="0.15">
      <c r="E47" s="86">
        <f ca="1"/>
        <v>-3.4313128645218891E-2</v>
      </c>
      <c r="F47" s="86">
        <f ca="1"/>
        <v>1.0626341086765592E-2</v>
      </c>
      <c r="G47" s="86">
        <f ca="1"/>
        <v>1.479001763407014E-3</v>
      </c>
    </row>
    <row r="48" spans="1:7" x14ac:dyDescent="0.15">
      <c r="E48" s="86">
        <f ca="1"/>
        <v>-2.7591277732170735E-2</v>
      </c>
      <c r="F48" s="86">
        <f ca="1"/>
        <v>-9.9416949871680947E-3</v>
      </c>
      <c r="G48" s="86">
        <f ca="1"/>
        <v>4.976373760743549E-3</v>
      </c>
    </row>
    <row r="49" spans="1:7" x14ac:dyDescent="0.15">
      <c r="E49" s="86">
        <f ca="1"/>
        <v>4.8448613451365094E-3</v>
      </c>
      <c r="F49" s="86">
        <f ca="1"/>
        <v>1.1982770548075507E-2</v>
      </c>
      <c r="G49" s="86">
        <f ca="1"/>
        <v>5.8049481486008104E-3</v>
      </c>
    </row>
    <row r="50" spans="1:7" x14ac:dyDescent="0.15">
      <c r="E50" s="86">
        <f ca="1"/>
        <v>5.2142802844087959E-3</v>
      </c>
      <c r="F50" s="86">
        <f ca="1"/>
        <v>3.0542740016035418E-2</v>
      </c>
      <c r="G50" s="86">
        <f ca="1"/>
        <v>8.1400938729543557E-3</v>
      </c>
    </row>
    <row r="51" spans="1:7" x14ac:dyDescent="0.15">
      <c r="A51" s="92"/>
      <c r="E51" s="86">
        <f ca="1"/>
        <v>-5.0816910649158289E-3</v>
      </c>
      <c r="F51" s="86">
        <f ca="1"/>
        <v>1.8821673948769577E-2</v>
      </c>
      <c r="G51" s="86">
        <f ca="1"/>
        <v>7.73749701682124E-3</v>
      </c>
    </row>
    <row r="52" spans="1:7" x14ac:dyDescent="0.15">
      <c r="E52" s="86">
        <f ca="1"/>
        <v>2.3868794785455612E-2</v>
      </c>
      <c r="F52" s="86">
        <f ca="1"/>
        <v>2.2436039089749501E-2</v>
      </c>
      <c r="G52" s="86">
        <f ca="1"/>
        <v>6.2069393443196525E-3</v>
      </c>
    </row>
    <row r="53" spans="1:7" x14ac:dyDescent="0.15">
      <c r="E53" s="86">
        <f ca="1"/>
        <v>3.6417029887264719E-3</v>
      </c>
      <c r="F53" s="86">
        <f ca="1"/>
        <v>8.9071136162604501E-3</v>
      </c>
      <c r="G53" s="86">
        <f ca="1"/>
        <v>1.0701946863353511E-2</v>
      </c>
    </row>
    <row r="54" spans="1:7" x14ac:dyDescent="0.15">
      <c r="E54" s="86">
        <f ca="1"/>
        <v>7.0985912081436477E-4</v>
      </c>
      <c r="F54" s="86">
        <f ca="1"/>
        <v>-1.1551738216283488E-2</v>
      </c>
      <c r="G54" s="86">
        <f ca="1"/>
        <v>-4.6869809282196117E-3</v>
      </c>
    </row>
    <row r="55" spans="1:7" x14ac:dyDescent="0.15">
      <c r="E55" s="86">
        <f ca="1"/>
        <v>6.7906194959415139E-3</v>
      </c>
      <c r="F55" s="86">
        <f ca="1"/>
        <v>1.6381548400668293E-2</v>
      </c>
      <c r="G55" s="86">
        <f ca="1"/>
        <v>1.1490979519705893E-2</v>
      </c>
    </row>
    <row r="56" spans="1:7" x14ac:dyDescent="0.15">
      <c r="E56" s="86">
        <f ca="1"/>
        <v>-1.2234166344132538E-2</v>
      </c>
      <c r="F56" s="86">
        <f ca="1"/>
        <v>1.4982866259714215E-2</v>
      </c>
      <c r="G56" s="86">
        <f ca="1"/>
        <v>3.6016795460344021E-3</v>
      </c>
    </row>
    <row r="57" spans="1:7" x14ac:dyDescent="0.15">
      <c r="E57" s="86">
        <f ca="1"/>
        <v>2.9845119272662604E-2</v>
      </c>
      <c r="F57" s="86">
        <f ca="1"/>
        <v>1.0047367189152756E-2</v>
      </c>
      <c r="G57" s="86">
        <f ca="1"/>
        <v>-6.1326683168288713E-3</v>
      </c>
    </row>
    <row r="58" spans="1:7" x14ac:dyDescent="0.15">
      <c r="E58" s="86">
        <f ca="1"/>
        <v>-1.0933404232949506E-2</v>
      </c>
      <c r="F58" s="86">
        <f ca="1"/>
        <v>1.0121026585364649E-2</v>
      </c>
      <c r="G58" s="86">
        <f ca="1"/>
        <v>3.3548344764738245E-3</v>
      </c>
    </row>
    <row r="59" spans="1:7" x14ac:dyDescent="0.15">
      <c r="E59" s="86">
        <f ca="1"/>
        <v>2.9455173389024175E-2</v>
      </c>
      <c r="F59" s="86">
        <f ca="1"/>
        <v>-1.207926637244487E-2</v>
      </c>
      <c r="G59" s="86">
        <f ca="1"/>
        <v>9.4475265185496181E-4</v>
      </c>
    </row>
    <row r="60" spans="1:7" x14ac:dyDescent="0.15">
      <c r="E60" s="86">
        <f ca="1"/>
        <v>-3.1080857959854012E-2</v>
      </c>
      <c r="F60" s="86">
        <f ca="1"/>
        <v>-3.3549838741555021E-3</v>
      </c>
      <c r="G60" s="86">
        <f ca="1"/>
        <v>-1.5540466932282147E-3</v>
      </c>
    </row>
    <row r="61" spans="1:7" x14ac:dyDescent="0.15">
      <c r="E61" s="86">
        <f ca="1"/>
        <v>-6.0762037894373327E-5</v>
      </c>
      <c r="F61" s="86">
        <f ca="1"/>
        <v>2.0364466293012083E-3</v>
      </c>
      <c r="G61" s="86">
        <f ca="1"/>
        <v>1.1325787594195823E-2</v>
      </c>
    </row>
    <row r="62" spans="1:7" x14ac:dyDescent="0.15">
      <c r="E62" s="86">
        <f ca="1"/>
        <v>-1.0454903270722116E-2</v>
      </c>
      <c r="F62" s="86">
        <f ca="1"/>
        <v>-4.2655781360516499E-3</v>
      </c>
      <c r="G62" s="86">
        <f ca="1"/>
        <v>8.2721340940134346E-3</v>
      </c>
    </row>
    <row r="63" spans="1:7" x14ac:dyDescent="0.15">
      <c r="E63" s="86">
        <f ca="1"/>
        <v>7.6332650142499755E-3</v>
      </c>
      <c r="F63" s="86">
        <f ca="1"/>
        <v>1.1580094694562492E-2</v>
      </c>
      <c r="G63" s="86">
        <f ca="1"/>
        <v>-9.3200317986432499E-3</v>
      </c>
    </row>
    <row r="64" spans="1:7" x14ac:dyDescent="0.15">
      <c r="E64" s="86">
        <f ca="1"/>
        <v>-1.3157272633638171E-2</v>
      </c>
      <c r="F64" s="86">
        <f ca="1"/>
        <v>-1.5503296398381234E-2</v>
      </c>
      <c r="G64" s="86">
        <f ca="1"/>
        <v>-8.8669548027874735E-3</v>
      </c>
    </row>
    <row r="65" spans="5:7" x14ac:dyDescent="0.15">
      <c r="E65" s="86">
        <f ca="1"/>
        <v>-4.1078730450841747E-2</v>
      </c>
      <c r="F65" s="86">
        <f ca="1"/>
        <v>-3.0878412322180429E-2</v>
      </c>
      <c r="G65" s="86">
        <f ca="1"/>
        <v>-2.700872681524703E-3</v>
      </c>
    </row>
    <row r="66" spans="5:7" x14ac:dyDescent="0.15">
      <c r="E66" s="86">
        <f ca="1"/>
        <v>-1.4350834464128954E-2</v>
      </c>
      <c r="F66" s="86">
        <f ca="1"/>
        <v>-4.7146878214079481E-3</v>
      </c>
      <c r="G66" s="86">
        <f ca="1"/>
        <v>1.2064832393288833E-3</v>
      </c>
    </row>
    <row r="67" spans="5:7" x14ac:dyDescent="0.15">
      <c r="E67" s="86">
        <f ca="1"/>
        <v>-7.1914789061059943E-3</v>
      </c>
      <c r="F67" s="86">
        <f ca="1"/>
        <v>-7.7205182357239291E-3</v>
      </c>
      <c r="G67" s="86">
        <f ca="1"/>
        <v>-1.280067334896301E-2</v>
      </c>
    </row>
    <row r="68" spans="5:7" x14ac:dyDescent="0.15">
      <c r="E68" s="86">
        <f ca="1"/>
        <v>2.8729983994906973E-2</v>
      </c>
      <c r="F68" s="86">
        <f ca="1"/>
        <v>9.6781033306864404E-3</v>
      </c>
      <c r="G68" s="86">
        <f ca="1"/>
        <v>9.9451805201752918E-4</v>
      </c>
    </row>
    <row r="69" spans="5:7" x14ac:dyDescent="0.15">
      <c r="E69" s="86">
        <f ca="1"/>
        <v>2.1959172020203654E-2</v>
      </c>
      <c r="F69" s="86">
        <f ca="1"/>
        <v>2.6977487066254451E-2</v>
      </c>
      <c r="G69" s="86">
        <f ca="1"/>
        <v>9.8992694711712605E-3</v>
      </c>
    </row>
    <row r="70" spans="5:7" x14ac:dyDescent="0.15">
      <c r="E70" s="86">
        <f ca="1"/>
        <v>2.4417813471272559E-2</v>
      </c>
      <c r="F70" s="86">
        <f ca="1"/>
        <v>8.507954823953244E-3</v>
      </c>
      <c r="G70" s="86">
        <f ca="1"/>
        <v>-3.6086306452398327E-3</v>
      </c>
    </row>
    <row r="71" spans="5:7" x14ac:dyDescent="0.15">
      <c r="E71" s="86">
        <f ca="1"/>
        <v>-2.5090979632504213E-3</v>
      </c>
      <c r="F71" s="86">
        <f ca="1"/>
        <v>8.4893204089397031E-3</v>
      </c>
      <c r="G71" s="86">
        <f ca="1"/>
        <v>-5.7506939297103871E-3</v>
      </c>
    </row>
    <row r="72" spans="5:7" x14ac:dyDescent="0.15">
      <c r="E72" s="86">
        <f ca="1"/>
        <v>3.2984246552569406E-3</v>
      </c>
      <c r="F72" s="86">
        <f ca="1"/>
        <v>1.3404880867666063E-2</v>
      </c>
      <c r="G72" s="86">
        <f ca="1"/>
        <v>3.0845965926927332E-3</v>
      </c>
    </row>
    <row r="73" spans="5:7" x14ac:dyDescent="0.15">
      <c r="E73" s="86">
        <f ca="1"/>
        <v>-1.1729510485740563E-2</v>
      </c>
      <c r="F73" s="86">
        <f ca="1"/>
        <v>2.0484752819544962E-2</v>
      </c>
      <c r="G73" s="86">
        <f ca="1"/>
        <v>7.5561061051817339E-3</v>
      </c>
    </row>
    <row r="74" spans="5:7" x14ac:dyDescent="0.15">
      <c r="E74" s="86">
        <f ca="1"/>
        <v>1.7809486280805725E-2</v>
      </c>
      <c r="F74" s="86">
        <f ca="1"/>
        <v>1.7135240048506029E-2</v>
      </c>
      <c r="G74" s="86">
        <f ca="1"/>
        <v>7.6069346310359857E-3</v>
      </c>
    </row>
    <row r="75" spans="5:7" x14ac:dyDescent="0.15">
      <c r="E75" s="86">
        <f ca="1"/>
        <v>-2.0906993375988192E-3</v>
      </c>
      <c r="F75" s="86">
        <f ca="1"/>
        <v>-3.7826138762181503E-3</v>
      </c>
      <c r="G75" s="86">
        <f ca="1"/>
        <v>1.5341248707990777E-2</v>
      </c>
    </row>
    <row r="76" spans="5:7" x14ac:dyDescent="0.15">
      <c r="E76" s="86">
        <f ca="1"/>
        <v>-1.0577468118858823E-3</v>
      </c>
      <c r="F76" s="86">
        <f ca="1"/>
        <v>-2.1262951809571246E-2</v>
      </c>
      <c r="G76" s="86">
        <f ca="1"/>
        <v>-5.1808672712222977E-3</v>
      </c>
    </row>
    <row r="77" spans="5:7" x14ac:dyDescent="0.15">
      <c r="E77" s="86">
        <f ca="1"/>
        <v>-8.7519728169612571E-4</v>
      </c>
      <c r="F77" s="86">
        <f ca="1"/>
        <v>-5.9583461111474773E-3</v>
      </c>
      <c r="G77" s="86">
        <f ca="1"/>
        <v>-6.9053531169009676E-3</v>
      </c>
    </row>
    <row r="78" spans="5:7" x14ac:dyDescent="0.15">
      <c r="E78" s="86">
        <f ca="1"/>
        <v>-2.0128460437409811E-2</v>
      </c>
      <c r="F78" s="86">
        <f ca="1"/>
        <v>7.1703914264959721E-3</v>
      </c>
      <c r="G78" s="86">
        <f ca="1"/>
        <v>-1.0259039742986083E-2</v>
      </c>
    </row>
    <row r="79" spans="5:7" x14ac:dyDescent="0.15">
      <c r="E79" s="86">
        <f ca="1"/>
        <v>7.6130140001048991E-3</v>
      </c>
      <c r="F79" s="86">
        <f ca="1"/>
        <v>-3.0434961012171865E-4</v>
      </c>
      <c r="G79" s="86">
        <f ca="1"/>
        <v>9.5955592180859025E-4</v>
      </c>
    </row>
    <row r="80" spans="5:7" x14ac:dyDescent="0.15">
      <c r="E80" s="86">
        <f ca="1"/>
        <v>-2.611656389107909E-3</v>
      </c>
      <c r="F80" s="86">
        <f ca="1"/>
        <v>-7.3062946164680629E-4</v>
      </c>
      <c r="G80" s="86">
        <f ca="1"/>
        <v>-1.0060146247645906E-2</v>
      </c>
    </row>
    <row r="81" spans="5:7" x14ac:dyDescent="0.15">
      <c r="E81" s="86">
        <f ca="1"/>
        <v>1.5647407250607728E-2</v>
      </c>
      <c r="F81" s="86">
        <f ca="1"/>
        <v>1.7961788002338934E-2</v>
      </c>
      <c r="G81" s="86">
        <f ca="1"/>
        <v>-4.8753507246601111E-3</v>
      </c>
    </row>
    <row r="82" spans="5:7" x14ac:dyDescent="0.15">
      <c r="E82" s="86">
        <f ca="1"/>
        <v>9.8082248698650315E-3</v>
      </c>
      <c r="F82" s="86">
        <f ca="1"/>
        <v>2.3926073865034002E-2</v>
      </c>
      <c r="G82" s="86">
        <f ca="1"/>
        <v>7.0944967778571585E-3</v>
      </c>
    </row>
    <row r="83" spans="5:7" x14ac:dyDescent="0.15">
      <c r="E83" s="86">
        <f ca="1"/>
        <v>-1.9250162342329895E-2</v>
      </c>
      <c r="F83" s="86">
        <f ca="1"/>
        <v>-2.1766561638158918E-2</v>
      </c>
      <c r="G83" s="86">
        <f ca="1"/>
        <v>1.4770949215661526E-3</v>
      </c>
    </row>
    <row r="84" spans="5:7" x14ac:dyDescent="0.15">
      <c r="E84" s="86">
        <f ca="1"/>
        <v>1.3171881750439268E-2</v>
      </c>
      <c r="F84" s="86">
        <f ca="1"/>
        <v>-5.8142301295734079E-4</v>
      </c>
      <c r="G84" s="86">
        <f ca="1"/>
        <v>6.7000923061098197E-4</v>
      </c>
    </row>
    <row r="85" spans="5:7" x14ac:dyDescent="0.15">
      <c r="E85" s="86">
        <f ca="1"/>
        <v>-1.4673270484047781E-2</v>
      </c>
      <c r="F85" s="86">
        <f ca="1"/>
        <v>-1.1101386957303845E-2</v>
      </c>
      <c r="G85" s="86">
        <f ca="1"/>
        <v>1.2745008380194998E-4</v>
      </c>
    </row>
    <row r="86" spans="5:7" x14ac:dyDescent="0.15">
      <c r="E86" s="86">
        <f ca="1"/>
        <v>3.2088228399148652E-3</v>
      </c>
      <c r="F86" s="86">
        <f ca="1"/>
        <v>-8.6415178159103597E-3</v>
      </c>
      <c r="G86" s="86">
        <f ca="1"/>
        <v>-1.2557421798509815E-2</v>
      </c>
    </row>
    <row r="87" spans="5:7" x14ac:dyDescent="0.15">
      <c r="E87" s="86">
        <f ca="1"/>
        <v>-1.4202921719731027E-2</v>
      </c>
      <c r="F87" s="86">
        <f ca="1"/>
        <v>7.9064939186017629E-3</v>
      </c>
      <c r="G87" s="86">
        <f ca="1"/>
        <v>6.0616053300189426E-4</v>
      </c>
    </row>
    <row r="88" spans="5:7" x14ac:dyDescent="0.15">
      <c r="E88" s="86">
        <f ca="1"/>
        <v>-8.1129654166094203E-3</v>
      </c>
      <c r="F88" s="86">
        <f ca="1"/>
        <v>-1.3221771426273624E-2</v>
      </c>
      <c r="G88" s="86">
        <f ca="1"/>
        <v>-8.1386489763776697E-3</v>
      </c>
    </row>
    <row r="89" spans="5:7" x14ac:dyDescent="0.15">
      <c r="E89" s="86">
        <f ca="1"/>
        <v>-6.6545734817230239E-3</v>
      </c>
      <c r="F89" s="86">
        <f ca="1"/>
        <v>-6.632520747554954E-3</v>
      </c>
      <c r="G89" s="86">
        <f ca="1"/>
        <v>-1.6806947622165364E-2</v>
      </c>
    </row>
    <row r="90" spans="5:7" x14ac:dyDescent="0.15">
      <c r="E90" s="86">
        <f ca="1"/>
        <v>1.2020643361949843E-2</v>
      </c>
      <c r="F90" s="86">
        <f ca="1"/>
        <v>-1.5820667782297515E-2</v>
      </c>
      <c r="G90" s="86">
        <f ca="1"/>
        <v>-1.000328976504207E-2</v>
      </c>
    </row>
    <row r="91" spans="5:7" x14ac:dyDescent="0.15">
      <c r="E91" s="86">
        <f ca="1"/>
        <v>2.5788236402403348E-3</v>
      </c>
      <c r="F91" s="86">
        <f ca="1"/>
        <v>1.9754318549234226E-3</v>
      </c>
      <c r="G91" s="86">
        <f ca="1"/>
        <v>-1.0928561286329611E-2</v>
      </c>
    </row>
    <row r="92" spans="5:7" x14ac:dyDescent="0.15">
      <c r="E92" s="86">
        <f t="array" aca="1" ref="E92:G92" ca="1">MultivarXs(3, 500, A$3:C$5, A$7:A$9, B$7:B$9)</f>
        <v>6.2476106497501181E-3</v>
      </c>
      <c r="F92" s="86">
        <f ca="1"/>
        <v>-1.0305134277570579E-3</v>
      </c>
      <c r="G92" s="86">
        <f ca="1"/>
        <v>1.2498886502893053E-3</v>
      </c>
    </row>
    <row r="93" spans="5:7" x14ac:dyDescent="0.15">
      <c r="E93" s="86">
        <f t="array" aca="1" ref="E93:G93" ca="1">MultivarXs(3, 500, A$3:C$5, A$7:A$9, B$7:B$9)</f>
        <v>-9.9387962128426148E-3</v>
      </c>
      <c r="F93" s="86">
        <f ca="1"/>
        <v>6.0742401587648657E-3</v>
      </c>
      <c r="G93" s="86">
        <f ca="1"/>
        <v>-2.1608644615392211E-3</v>
      </c>
    </row>
    <row r="94" spans="5:7" x14ac:dyDescent="0.15">
      <c r="E94" s="86">
        <f t="array" aca="1" ref="E94:G94" ca="1">MultivarXs(3, 500, A$3:C$5, A$7:A$9, B$7:B$9)</f>
        <v>2.3351286049634233E-2</v>
      </c>
      <c r="F94" s="86">
        <f ca="1"/>
        <v>-1.2273253054522556E-2</v>
      </c>
      <c r="G94" s="86">
        <f ca="1"/>
        <v>7.2083482894005659E-3</v>
      </c>
    </row>
    <row r="95" spans="5:7" x14ac:dyDescent="0.15">
      <c r="E95" s="86">
        <f t="array" aca="1" ref="E95:G95" ca="1">MultivarXs(3, 500, A$3:C$5, A$7:A$9, B$7:B$9)</f>
        <v>-4.3912260069216905E-3</v>
      </c>
      <c r="F95" s="86">
        <f ca="1"/>
        <v>2.3821498927932526E-2</v>
      </c>
      <c r="G95" s="86">
        <f ca="1"/>
        <v>1.6497844208621904E-3</v>
      </c>
    </row>
    <row r="96" spans="5:7" x14ac:dyDescent="0.15">
      <c r="E96" s="86">
        <f t="array" aca="1" ref="E96:G96" ca="1">MultivarXs(3, 500, A$3:C$5, A$7:A$9, B$7:B$9)</f>
        <v>5.8515366697994963E-3</v>
      </c>
      <c r="F96" s="86">
        <f ca="1"/>
        <v>-1.5514390610638855E-2</v>
      </c>
      <c r="G96" s="86">
        <f ca="1"/>
        <v>-6.901732458346274E-3</v>
      </c>
    </row>
    <row r="97" spans="4:7" x14ac:dyDescent="0.15">
      <c r="E97" s="86">
        <f t="array" aca="1" ref="E97:G97" ca="1">MultivarXs(3, 500, A$3:C$5, A$7:A$9, B$7:B$9)</f>
        <v>-1.9635494924333866E-2</v>
      </c>
      <c r="F97" s="86">
        <f ca="1"/>
        <v>-2.1897359740711476E-2</v>
      </c>
      <c r="G97" s="86">
        <f ca="1"/>
        <v>1.4075154463625979E-2</v>
      </c>
    </row>
    <row r="98" spans="4:7" x14ac:dyDescent="0.15">
      <c r="E98" s="86">
        <f t="array" aca="1" ref="E98:G98" ca="1">MultivarXs(3, 500, A$3:C$5, A$7:A$9, B$7:B$9)</f>
        <v>-8.0678043294562585E-4</v>
      </c>
      <c r="F98" s="86">
        <f ca="1"/>
        <v>1.3638016848896458E-2</v>
      </c>
      <c r="G98" s="86">
        <f ca="1"/>
        <v>1.4810364419625868E-3</v>
      </c>
    </row>
    <row r="99" spans="4:7" x14ac:dyDescent="0.15">
      <c r="E99" s="86">
        <f t="array" aca="1" ref="E99:G99" ca="1">MultivarXs(3, 500, A$3:C$5, A$7:A$9, B$7:B$9)</f>
        <v>4.6365604451307019E-3</v>
      </c>
      <c r="F99" s="86">
        <f ca="1"/>
        <v>-7.9488246597981364E-3</v>
      </c>
      <c r="G99" s="86">
        <f ca="1"/>
        <v>-4.8180401429729859E-3</v>
      </c>
    </row>
    <row r="100" spans="4:7" x14ac:dyDescent="0.15">
      <c r="E100" s="86">
        <f t="array" aca="1" ref="E100:G100" ca="1">MultivarXs(3, 500, A$3:C$5, A$7:A$9, B$7:B$9)</f>
        <v>1.4647654187072836E-2</v>
      </c>
      <c r="F100" s="86">
        <f ca="1"/>
        <v>2.3035609284760136E-3</v>
      </c>
      <c r="G100" s="86">
        <f ca="1"/>
        <v>4.1114371687182676E-3</v>
      </c>
    </row>
    <row r="101" spans="4:7" x14ac:dyDescent="0.15">
      <c r="E101" s="86">
        <f t="array" aca="1" ref="E101:G101" ca="1">MultivarXs(3, 500, A$3:C$5, A$7:A$9, B$7:B$9)</f>
        <v>-2.1052762313695367E-2</v>
      </c>
      <c r="F101" s="86">
        <f ca="1"/>
        <v>-3.4200531160971291E-2</v>
      </c>
      <c r="G101" s="86">
        <f ca="1"/>
        <v>-6.5561397541531678E-3</v>
      </c>
    </row>
    <row r="102" spans="4:7" x14ac:dyDescent="0.15">
      <c r="E102" s="86">
        <f t="array" aca="1" ref="E102:G102" ca="1">MultivarXs(3, 500, A$3:C$5, A$7:A$9, B$7:B$9)</f>
        <v>3.1122951116812629E-3</v>
      </c>
      <c r="F102" s="86">
        <f ca="1"/>
        <v>-3.4378224050277996E-3</v>
      </c>
      <c r="G102" s="86">
        <f ca="1"/>
        <v>-6.2913225227721244E-3</v>
      </c>
    </row>
    <row r="103" spans="4:7" x14ac:dyDescent="0.15">
      <c r="E103" s="86">
        <f t="array" aca="1" ref="E103:G103" ca="1">MultivarXs(3, 500, A$3:C$5, A$7:A$9, B$7:B$9)</f>
        <v>1.9391226359360032E-2</v>
      </c>
      <c r="F103" s="86">
        <f ca="1"/>
        <v>-3.3415844016534408E-3</v>
      </c>
      <c r="G103" s="86">
        <f ca="1"/>
        <v>-4.7690981710893391E-3</v>
      </c>
    </row>
    <row r="104" spans="4:7" x14ac:dyDescent="0.15">
      <c r="D104" s="78"/>
      <c r="E104" s="86">
        <f t="array" aca="1" ref="E104:G104" ca="1">MultivarXs(3, 500, A$3:C$5, A$7:A$9, B$7:B$9)</f>
        <v>-1.9716545407437613E-2</v>
      </c>
      <c r="F104" s="86">
        <f ca="1"/>
        <v>6.5224498001628781E-4</v>
      </c>
      <c r="G104" s="86">
        <f ca="1"/>
        <v>-9.8784656483501786E-3</v>
      </c>
    </row>
    <row r="105" spans="4:7" x14ac:dyDescent="0.15">
      <c r="E105" s="86">
        <f t="array" aca="1" ref="E105:G105" ca="1">MultivarXs(3, 500, A$3:C$5, A$7:A$9, B$7:B$9)</f>
        <v>1.8804965995677887E-2</v>
      </c>
      <c r="F105" s="86">
        <f ca="1"/>
        <v>1.4384011678126276E-2</v>
      </c>
      <c r="G105" s="86">
        <f ca="1"/>
        <v>5.6665751865842924E-3</v>
      </c>
    </row>
    <row r="106" spans="4:7" x14ac:dyDescent="0.15">
      <c r="E106" s="86">
        <f t="array" aca="1" ref="E106:G106" ca="1">MultivarXs(3, 500, A$3:C$5, A$7:A$9, B$7:B$9)</f>
        <v>1.0691607266062898E-2</v>
      </c>
      <c r="F106" s="86">
        <f ca="1"/>
        <v>1.4206839001336131E-2</v>
      </c>
      <c r="G106" s="86">
        <f ca="1"/>
        <v>9.9738634459159356E-3</v>
      </c>
    </row>
    <row r="107" spans="4:7" x14ac:dyDescent="0.15">
      <c r="E107" s="86">
        <f t="array" aca="1" ref="E107:G107" ca="1">MultivarXs(3, 500, A$3:C$5, A$7:A$9, B$7:B$9)</f>
        <v>-1.2519279259164401E-2</v>
      </c>
      <c r="F107" s="86">
        <f ca="1"/>
        <v>-1.3396908411483357E-2</v>
      </c>
      <c r="G107" s="86">
        <f ca="1"/>
        <v>-2.9716601197551382E-3</v>
      </c>
    </row>
    <row r="108" spans="4:7" x14ac:dyDescent="0.15">
      <c r="E108" s="86">
        <f t="array" aca="1" ref="E108:G108" ca="1">MultivarXs(3, 500, A$3:C$5, A$7:A$9, B$7:B$9)</f>
        <v>-1.7535579231852116E-2</v>
      </c>
      <c r="F108" s="86">
        <f ca="1"/>
        <v>1.5132349236476104E-2</v>
      </c>
      <c r="G108" s="86">
        <f ca="1"/>
        <v>5.3024836328640764E-3</v>
      </c>
    </row>
    <row r="109" spans="4:7" x14ac:dyDescent="0.15">
      <c r="E109" s="86">
        <f t="array" aca="1" ref="E109:G109" ca="1">MultivarXs(3, 500, A$3:C$5, A$7:A$9, B$7:B$9)</f>
        <v>2.5791069633637188E-2</v>
      </c>
      <c r="F109" s="86">
        <f ca="1"/>
        <v>1.2375855496041302E-2</v>
      </c>
      <c r="G109" s="86">
        <f ca="1"/>
        <v>7.3415464415030425E-3</v>
      </c>
    </row>
    <row r="110" spans="4:7" x14ac:dyDescent="0.15">
      <c r="E110" s="86">
        <f t="array" aca="1" ref="E110:G110" ca="1">MultivarXs(3, 500, A$3:C$5, A$7:A$9, B$7:B$9)</f>
        <v>-2.6981665770813238E-2</v>
      </c>
      <c r="F110" s="86">
        <f ca="1"/>
        <v>-7.9835857206311207E-5</v>
      </c>
      <c r="G110" s="86">
        <f ca="1"/>
        <v>1.054563057020552E-2</v>
      </c>
    </row>
    <row r="111" spans="4:7" x14ac:dyDescent="0.15">
      <c r="E111" s="86">
        <f t="array" aca="1" ref="E111:G111" ca="1">MultivarXs(3, 500, A$3:C$5, A$7:A$9, B$7:B$9)</f>
        <v>6.8430574698395566E-3</v>
      </c>
      <c r="F111" s="86">
        <f ca="1"/>
        <v>2.0684999605328137E-2</v>
      </c>
      <c r="G111" s="86">
        <f ca="1"/>
        <v>5.1708413265287891E-3</v>
      </c>
    </row>
    <row r="112" spans="4:7" x14ac:dyDescent="0.15">
      <c r="E112" s="86">
        <f t="array" aca="1" ref="E112:G112" ca="1">MultivarXs(3, 500, A$3:C$5, A$7:A$9, B$7:B$9)</f>
        <v>-2.0416890926220052E-2</v>
      </c>
      <c r="F112" s="86">
        <f ca="1"/>
        <v>1.7377232417696098E-4</v>
      </c>
      <c r="G112" s="86">
        <f ca="1"/>
        <v>-8.644773354299886E-3</v>
      </c>
    </row>
    <row r="113" spans="5:7" x14ac:dyDescent="0.15">
      <c r="E113" s="86">
        <f t="array" aca="1" ref="E113:G113" ca="1">MultivarXs(3, 500, A$3:C$5, A$7:A$9, B$7:B$9)</f>
        <v>-2.6997448251749542E-2</v>
      </c>
      <c r="F113" s="86">
        <f ca="1"/>
        <v>-1.6487627493176595E-2</v>
      </c>
      <c r="G113" s="86">
        <f ca="1"/>
        <v>3.1062212027199569E-3</v>
      </c>
    </row>
    <row r="114" spans="5:7" x14ac:dyDescent="0.15">
      <c r="E114" s="86">
        <f t="array" aca="1" ref="E114:G114" ca="1">MultivarXs(3, 500, A$3:C$5, A$7:A$9, B$7:B$9)</f>
        <v>1.5002266278099119E-2</v>
      </c>
      <c r="F114" s="86">
        <f ca="1"/>
        <v>2.7611900366125777E-2</v>
      </c>
      <c r="G114" s="86">
        <f ca="1"/>
        <v>-9.7197814863888188E-4</v>
      </c>
    </row>
    <row r="115" spans="5:7" x14ac:dyDescent="0.15">
      <c r="E115" s="86">
        <f t="array" aca="1" ref="E115:G115" ca="1">MultivarXs(3, 500, A$3:C$5, A$7:A$9, B$7:B$9)</f>
        <v>-1.5853855859509311E-2</v>
      </c>
      <c r="F115" s="86">
        <f ca="1"/>
        <v>-1.4108063852310721E-2</v>
      </c>
      <c r="G115" s="86">
        <f ca="1"/>
        <v>1.2083313378338911E-3</v>
      </c>
    </row>
    <row r="116" spans="5:7" x14ac:dyDescent="0.15">
      <c r="E116" s="86">
        <f t="array" aca="1" ref="E116:G116" ca="1">MultivarXs(3, 500, A$3:C$5, A$7:A$9, B$7:B$9)</f>
        <v>5.0247490779708956E-3</v>
      </c>
      <c r="F116" s="86">
        <f ca="1"/>
        <v>7.113698291691793E-3</v>
      </c>
      <c r="G116" s="86">
        <f ca="1"/>
        <v>7.4538893716789437E-3</v>
      </c>
    </row>
    <row r="117" spans="5:7" x14ac:dyDescent="0.15">
      <c r="E117" s="86">
        <f t="array" aca="1" ref="E117:G117" ca="1">MultivarXs(3, 500, A$3:C$5, A$7:A$9, B$7:B$9)</f>
        <v>1.4477743228430592E-2</v>
      </c>
      <c r="F117" s="86">
        <f ca="1"/>
        <v>-3.1170688858104659E-2</v>
      </c>
      <c r="G117" s="86">
        <f ca="1"/>
        <v>4.4647001850382827E-3</v>
      </c>
    </row>
    <row r="118" spans="5:7" x14ac:dyDescent="0.15">
      <c r="E118" s="86">
        <f t="array" aca="1" ref="E118:G118" ca="1">MultivarXs(3, 500, A$3:C$5, A$7:A$9, B$7:B$9)</f>
        <v>-4.5862903203644258E-3</v>
      </c>
      <c r="F118" s="86">
        <f ca="1"/>
        <v>6.3443980470794629E-3</v>
      </c>
      <c r="G118" s="86">
        <f ca="1"/>
        <v>1.6244519235408955E-2</v>
      </c>
    </row>
    <row r="119" spans="5:7" x14ac:dyDescent="0.15">
      <c r="E119" s="86">
        <f t="array" aca="1" ref="E119:G119" ca="1">MultivarXs(3, 500, A$3:C$5, A$7:A$9, B$7:B$9)</f>
        <v>-2.1620802459268226E-2</v>
      </c>
      <c r="F119" s="86">
        <f ca="1"/>
        <v>-7.9594415372166733E-3</v>
      </c>
      <c r="G119" s="86">
        <f ca="1"/>
        <v>-1.2820388000345725E-2</v>
      </c>
    </row>
    <row r="120" spans="5:7" x14ac:dyDescent="0.15">
      <c r="E120" s="86">
        <f t="array" aca="1" ref="E120:G120" ca="1">MultivarXs(3, 500, A$3:C$5, A$7:A$9, B$7:B$9)</f>
        <v>-2.4952073930485798E-2</v>
      </c>
      <c r="F120" s="86">
        <f ca="1"/>
        <v>7.8676669818611919E-3</v>
      </c>
      <c r="G120" s="86">
        <f ca="1"/>
        <v>-2.2380676567873409E-3</v>
      </c>
    </row>
    <row r="121" spans="5:7" x14ac:dyDescent="0.15">
      <c r="E121" s="86">
        <f t="array" aca="1" ref="E121:G121" ca="1">MultivarXs(3, 500, A$3:C$5, A$7:A$9, B$7:B$9)</f>
        <v>-9.9474620028850644E-3</v>
      </c>
      <c r="F121" s="86">
        <f ca="1"/>
        <v>-1.3791466240463002E-2</v>
      </c>
      <c r="G121" s="86">
        <f ca="1"/>
        <v>-9.8272629101387298E-3</v>
      </c>
    </row>
    <row r="122" spans="5:7" x14ac:dyDescent="0.15">
      <c r="E122" s="86">
        <f t="array" aca="1" ref="E122:G122" ca="1">MultivarXs(3, 500, A$3:C$5, A$7:A$9, B$7:B$9)</f>
        <v>-2.0497489657675259E-2</v>
      </c>
      <c r="F122" s="86">
        <f ca="1"/>
        <v>-2.6726706165864544E-2</v>
      </c>
      <c r="G122" s="86">
        <f ca="1"/>
        <v>-1.5253114683126331E-2</v>
      </c>
    </row>
    <row r="123" spans="5:7" x14ac:dyDescent="0.15">
      <c r="E123" s="86">
        <f t="array" aca="1" ref="E123:G123" ca="1">MultivarXs(3, 500, A$3:C$5, A$7:A$9, B$7:B$9)</f>
        <v>-2.8809740578616045E-5</v>
      </c>
      <c r="F123" s="86">
        <f ca="1"/>
        <v>1.1682754972686926E-2</v>
      </c>
      <c r="G123" s="86">
        <f ca="1"/>
        <v>-4.0681973923721616E-3</v>
      </c>
    </row>
    <row r="124" spans="5:7" x14ac:dyDescent="0.15">
      <c r="E124" s="86">
        <f t="array" aca="1" ref="E124:G124" ca="1">MultivarXs(3, 500, A$3:C$5, A$7:A$9, B$7:B$9)</f>
        <v>6.6240145812801196E-3</v>
      </c>
      <c r="F124" s="86">
        <f ca="1"/>
        <v>-1.994360851206399E-2</v>
      </c>
      <c r="G124" s="86">
        <f ca="1"/>
        <v>-4.7855932942498383E-3</v>
      </c>
    </row>
    <row r="125" spans="5:7" x14ac:dyDescent="0.15">
      <c r="E125" s="86">
        <f t="array" aca="1" ref="E125:G125" ca="1">MultivarXs(3, 500, A$3:C$5, A$7:A$9, B$7:B$9)</f>
        <v>-8.4883139786405687E-3</v>
      </c>
      <c r="F125" s="86">
        <f ca="1"/>
        <v>-2.7997869014491621E-3</v>
      </c>
      <c r="G125" s="86">
        <f ca="1"/>
        <v>1.6077948454891902E-3</v>
      </c>
    </row>
    <row r="126" spans="5:7" x14ac:dyDescent="0.15">
      <c r="E126" s="86">
        <f t="array" aca="1" ref="E126:G126" ca="1">MultivarXs(3, 500, A$3:C$5, A$7:A$9, B$7:B$9)</f>
        <v>-9.6009195854201094E-3</v>
      </c>
      <c r="F126" s="86">
        <f ca="1"/>
        <v>-7.3439755866722732E-3</v>
      </c>
      <c r="G126" s="86">
        <f ca="1"/>
        <v>7.2849595421054696E-3</v>
      </c>
    </row>
    <row r="127" spans="5:7" x14ac:dyDescent="0.15">
      <c r="E127" s="86">
        <f t="array" aca="1" ref="E127:G127" ca="1">MultivarXs(3, 500, A$3:C$5, A$7:A$9, B$7:B$9)</f>
        <v>1.1216504446403899E-3</v>
      </c>
      <c r="F127" s="86">
        <f ca="1"/>
        <v>-2.2696688341893215E-2</v>
      </c>
      <c r="G127" s="86">
        <f ca="1"/>
        <v>-5.2319128782645366E-3</v>
      </c>
    </row>
    <row r="128" spans="5:7" x14ac:dyDescent="0.15">
      <c r="E128" s="86">
        <f t="array" aca="1" ref="E128:G128" ca="1">MultivarXs(3, 500, A$3:C$5, A$7:A$9, B$7:B$9)</f>
        <v>3.5030731710138804E-3</v>
      </c>
      <c r="F128" s="86">
        <f ca="1"/>
        <v>-1.9273777359456592E-2</v>
      </c>
      <c r="G128" s="86">
        <f ca="1"/>
        <v>-7.6427637148531223E-3</v>
      </c>
    </row>
    <row r="129" spans="5:7" x14ac:dyDescent="0.15">
      <c r="E129" s="86">
        <f t="array" aca="1" ref="E129:G129" ca="1">MultivarXs(3, 500, A$3:C$5, A$7:A$9, B$7:B$9)</f>
        <v>-3.3453982603868443E-3</v>
      </c>
      <c r="F129" s="86">
        <f ca="1"/>
        <v>-4.2235200453755659E-3</v>
      </c>
      <c r="G129" s="86">
        <f ca="1"/>
        <v>-3.9221712805789458E-3</v>
      </c>
    </row>
    <row r="130" spans="5:7" x14ac:dyDescent="0.15">
      <c r="E130" s="86">
        <f t="array" aca="1" ref="E130:G130" ca="1">MultivarXs(3, 500, A$3:C$5, A$7:A$9, B$7:B$9)</f>
        <v>-4.162535167586431E-3</v>
      </c>
      <c r="F130" s="86">
        <f ca="1"/>
        <v>-7.9937471881405073E-3</v>
      </c>
      <c r="G130" s="86">
        <f ca="1"/>
        <v>3.0680001753356492E-3</v>
      </c>
    </row>
    <row r="131" spans="5:7" x14ac:dyDescent="0.15">
      <c r="E131" s="86">
        <f t="array" aca="1" ref="E131:G131" ca="1">MultivarXs(3, 500, A$3:C$5, A$7:A$9, B$7:B$9)</f>
        <v>-1.7592020162494195E-2</v>
      </c>
      <c r="F131" s="86">
        <f ca="1"/>
        <v>-1.391091447477668E-2</v>
      </c>
      <c r="G131" s="86">
        <f ca="1"/>
        <v>2.3509391846607162E-3</v>
      </c>
    </row>
    <row r="132" spans="5:7" x14ac:dyDescent="0.15">
      <c r="E132" s="86">
        <f t="array" aca="1" ref="E132:G132" ca="1">MultivarXs(3, 500, A$3:C$5, A$7:A$9, B$7:B$9)</f>
        <v>1.452509742922716E-2</v>
      </c>
      <c r="F132" s="86">
        <f ca="1"/>
        <v>5.6898955235744272E-3</v>
      </c>
      <c r="G132" s="86">
        <f ca="1"/>
        <v>-5.999110782909974E-3</v>
      </c>
    </row>
    <row r="133" spans="5:7" x14ac:dyDescent="0.15">
      <c r="E133" s="86">
        <f t="array" aca="1" ref="E133:G133" ca="1">MultivarXs(3, 500, A$3:C$5, A$7:A$9, B$7:B$9)</f>
        <v>-2.5215801258646628E-2</v>
      </c>
      <c r="F133" s="86">
        <f ca="1"/>
        <v>4.8792279087137751E-3</v>
      </c>
      <c r="G133" s="86">
        <f ca="1"/>
        <v>8.3300010710256646E-3</v>
      </c>
    </row>
    <row r="134" spans="5:7" x14ac:dyDescent="0.15">
      <c r="E134" s="86">
        <f t="array" aca="1" ref="E134:G134" ca="1">MultivarXs(3, 500, A$3:C$5, A$7:A$9, B$7:B$9)</f>
        <v>2.0929493270327653E-2</v>
      </c>
      <c r="F134" s="86">
        <f ca="1"/>
        <v>2.5977735016875423E-2</v>
      </c>
      <c r="G134" s="86">
        <f ca="1"/>
        <v>1.00017817675679E-3</v>
      </c>
    </row>
    <row r="135" spans="5:7" x14ac:dyDescent="0.15">
      <c r="E135" s="86">
        <f t="array" aca="1" ref="E135:G135" ca="1">MultivarXs(3, 500, A$3:C$5, A$7:A$9, B$7:B$9)</f>
        <v>1.511600279036068E-2</v>
      </c>
      <c r="F135" s="86">
        <f ca="1"/>
        <v>-9.5917586516044862E-3</v>
      </c>
      <c r="G135" s="86">
        <f ca="1"/>
        <v>6.8011783945478637E-3</v>
      </c>
    </row>
    <row r="136" spans="5:7" x14ac:dyDescent="0.15">
      <c r="E136" s="86">
        <f t="array" aca="1" ref="E136:G136" ca="1">MultivarXs(3, 500, A$3:C$5, A$7:A$9, B$7:B$9)</f>
        <v>-3.2458181267635264E-2</v>
      </c>
      <c r="F136" s="86">
        <f ca="1"/>
        <v>-7.8515679424985881E-3</v>
      </c>
      <c r="G136" s="86">
        <f ca="1"/>
        <v>-7.589221101513618E-3</v>
      </c>
    </row>
    <row r="137" spans="5:7" x14ac:dyDescent="0.15">
      <c r="E137" s="86">
        <f t="array" aca="1" ref="E137:G137" ca="1">MultivarXs(3, 500, A$3:C$5, A$7:A$9, B$7:B$9)</f>
        <v>1.3271512365646691E-2</v>
      </c>
      <c r="F137" s="86">
        <f ca="1"/>
        <v>-1.3381318628731129E-2</v>
      </c>
      <c r="G137" s="86">
        <f ca="1"/>
        <v>2.7333119054341674E-7</v>
      </c>
    </row>
    <row r="138" spans="5:7" x14ac:dyDescent="0.15">
      <c r="E138" s="86">
        <f t="array" aca="1" ref="E138:G138" ca="1">MultivarXs(3, 500, A$3:C$5, A$7:A$9, B$7:B$9)</f>
        <v>-2.2012225989688442E-2</v>
      </c>
      <c r="F138" s="86">
        <f ca="1"/>
        <v>-1.4478912283673793E-2</v>
      </c>
      <c r="G138" s="86">
        <f ca="1"/>
        <v>-7.1840575857501279E-4</v>
      </c>
    </row>
    <row r="139" spans="5:7" x14ac:dyDescent="0.15">
      <c r="E139" s="86">
        <f t="array" aca="1" ref="E139:G139" ca="1">MultivarXs(3, 500, A$3:C$5, A$7:A$9, B$7:B$9)</f>
        <v>1.0252381611345141E-2</v>
      </c>
      <c r="F139" s="86">
        <f ca="1"/>
        <v>4.1973312618549502E-2</v>
      </c>
      <c r="G139" s="86">
        <f ca="1"/>
        <v>1.9839196089723118E-2</v>
      </c>
    </row>
    <row r="140" spans="5:7" x14ac:dyDescent="0.15">
      <c r="E140" s="86">
        <f t="array" aca="1" ref="E140:G140" ca="1">MultivarXs(3, 500, A$3:C$5, A$7:A$9, B$7:B$9)</f>
        <v>1.0737006862093236E-2</v>
      </c>
      <c r="F140" s="86">
        <f ca="1"/>
        <v>1.9417534894506056E-2</v>
      </c>
      <c r="G140" s="86">
        <f ca="1"/>
        <v>-1.1557973139887578E-2</v>
      </c>
    </row>
    <row r="141" spans="5:7" x14ac:dyDescent="0.15">
      <c r="E141" s="86">
        <f t="array" aca="1" ref="E141:G141" ca="1">MultivarXs(3, 500, A$3:C$5, A$7:A$9, B$7:B$9)</f>
        <v>-5.2840519679201404E-3</v>
      </c>
      <c r="F141" s="86">
        <f ca="1"/>
        <v>-3.3275812714656065E-3</v>
      </c>
      <c r="G141" s="86">
        <f ca="1"/>
        <v>-5.0823843403548273E-3</v>
      </c>
    </row>
    <row r="142" spans="5:7" x14ac:dyDescent="0.15">
      <c r="E142" s="86">
        <f t="array" aca="1" ref="E142:G142" ca="1">MultivarXs(3, 500, A$3:C$5, A$7:A$9, B$7:B$9)</f>
        <v>-5.8155940366575263E-3</v>
      </c>
      <c r="F142" s="86">
        <f ca="1"/>
        <v>-1.0725674639850248E-2</v>
      </c>
      <c r="G142" s="86">
        <f ca="1"/>
        <v>5.5084062870262493E-4</v>
      </c>
    </row>
    <row r="143" spans="5:7" x14ac:dyDescent="0.15">
      <c r="E143" s="86">
        <f t="array" aca="1" ref="E143:G143" ca="1">MultivarXs(3, 500, A$3:C$5, A$7:A$9, B$7:B$9)</f>
        <v>5.9672908755335685E-3</v>
      </c>
      <c r="F143" s="86">
        <f ca="1"/>
        <v>1.0770244125698634E-2</v>
      </c>
      <c r="G143" s="86">
        <f ca="1"/>
        <v>3.4130644852943029E-3</v>
      </c>
    </row>
    <row r="144" spans="5:7" x14ac:dyDescent="0.15">
      <c r="E144" s="86">
        <f t="array" aca="1" ref="E144:G144" ca="1">MultivarXs(3, 500, A$3:C$5, A$7:A$9, B$7:B$9)</f>
        <v>-4.6182071883898768E-4</v>
      </c>
      <c r="F144" s="86">
        <f ca="1"/>
        <v>-4.6000341747854901E-3</v>
      </c>
      <c r="G144" s="86">
        <f ca="1"/>
        <v>5.8039917786104566E-4</v>
      </c>
    </row>
    <row r="145" spans="5:7" x14ac:dyDescent="0.15">
      <c r="E145" s="86">
        <f t="array" aca="1" ref="E145:G145" ca="1">MultivarXs(3, 500, A$3:C$5, A$7:A$9, B$7:B$9)</f>
        <v>1.7745953565520632E-2</v>
      </c>
      <c r="F145" s="86">
        <f ca="1"/>
        <v>1.551710294099304E-2</v>
      </c>
      <c r="G145" s="86">
        <f ca="1"/>
        <v>1.4917429060378377E-2</v>
      </c>
    </row>
    <row r="146" spans="5:7" x14ac:dyDescent="0.15">
      <c r="E146" s="86">
        <f t="array" aca="1" ref="E146:G146" ca="1">MultivarXs(3, 500, A$3:C$5, A$7:A$9, B$7:B$9)</f>
        <v>-2.2786613973767309E-3</v>
      </c>
      <c r="F146" s="86">
        <f ca="1"/>
        <v>-2.6840432208653311E-2</v>
      </c>
      <c r="G146" s="86">
        <f ca="1"/>
        <v>1.5586703100664236E-3</v>
      </c>
    </row>
    <row r="147" spans="5:7" x14ac:dyDescent="0.15">
      <c r="E147" s="86">
        <f t="array" aca="1" ref="E147:G147" ca="1">MultivarXs(3, 500, A$3:C$5, A$7:A$9, B$7:B$9)</f>
        <v>-5.7199804486751495E-3</v>
      </c>
      <c r="F147" s="86">
        <f ca="1"/>
        <v>5.4913228822755745E-3</v>
      </c>
      <c r="G147" s="86">
        <f ca="1"/>
        <v>-5.8016696738945363E-3</v>
      </c>
    </row>
    <row r="148" spans="5:7" x14ac:dyDescent="0.15">
      <c r="E148" s="86">
        <f t="array" aca="1" ref="E148:G148" ca="1">MultivarXs(3, 500, A$3:C$5, A$7:A$9, B$7:B$9)</f>
        <v>2.8414317721747958E-2</v>
      </c>
      <c r="F148" s="86">
        <f ca="1"/>
        <v>1.7775001114649011E-2</v>
      </c>
      <c r="G148" s="86">
        <f ca="1"/>
        <v>1.3060698698697222E-3</v>
      </c>
    </row>
    <row r="149" spans="5:7" x14ac:dyDescent="0.15">
      <c r="E149" s="86">
        <f t="array" aca="1" ref="E149:G149" ca="1">MultivarXs(3, 500, A$3:C$5, A$7:A$9, B$7:B$9)</f>
        <v>2.1068907064418472E-2</v>
      </c>
      <c r="F149" s="86">
        <f ca="1"/>
        <v>2.3807275578095904E-2</v>
      </c>
      <c r="G149" s="86">
        <f ca="1"/>
        <v>1.099191539005407E-2</v>
      </c>
    </row>
    <row r="150" spans="5:7" x14ac:dyDescent="0.15">
      <c r="E150" s="86">
        <f t="array" aca="1" ref="E150:G150" ca="1">MultivarXs(3, 500, A$3:C$5, A$7:A$9, B$7:B$9)</f>
        <v>-2.2507515076556667E-3</v>
      </c>
      <c r="F150" s="86">
        <f ca="1"/>
        <v>-1.2496595281148815E-2</v>
      </c>
      <c r="G150" s="86">
        <f ca="1"/>
        <v>5.0781290159134414E-3</v>
      </c>
    </row>
    <row r="151" spans="5:7" x14ac:dyDescent="0.15">
      <c r="E151" s="86">
        <f t="array" aca="1" ref="E151:G151" ca="1">MultivarXs(3, 500, A$3:C$5, A$7:A$9, B$7:B$9)</f>
        <v>1.564875633539013E-3</v>
      </c>
      <c r="F151" s="86">
        <f ca="1"/>
        <v>1.2397698052474707E-2</v>
      </c>
      <c r="G151" s="86">
        <f ca="1"/>
        <v>1.6849634283469836E-3</v>
      </c>
    </row>
    <row r="152" spans="5:7" x14ac:dyDescent="0.15">
      <c r="E152" s="86">
        <f t="array" aca="1" ref="E152:G152" ca="1">MultivarXs(3, 500, A$3:C$5, A$7:A$9, B$7:B$9)</f>
        <v>-2.5586207946048191E-2</v>
      </c>
      <c r="F152" s="86">
        <f ca="1"/>
        <v>3.3742597011755153E-3</v>
      </c>
      <c r="G152" s="86">
        <f ca="1"/>
        <v>-8.0488975950781865E-4</v>
      </c>
    </row>
    <row r="153" spans="5:7" x14ac:dyDescent="0.15">
      <c r="E153" s="86">
        <f t="array" aca="1" ref="E153:G153" ca="1">MultivarXs(3, 500, A$3:C$5, A$7:A$9, B$7:B$9)</f>
        <v>-2.075340974787111E-3</v>
      </c>
      <c r="F153" s="86">
        <f ca="1"/>
        <v>1.9468515365213129E-2</v>
      </c>
      <c r="G153" s="86">
        <f ca="1"/>
        <v>-5.4299421276947498E-4</v>
      </c>
    </row>
    <row r="154" spans="5:7" x14ac:dyDescent="0.15">
      <c r="E154" s="86">
        <f t="array" aca="1" ref="E154:G154" ca="1">MultivarXs(3, 500, A$3:C$5, A$7:A$9, B$7:B$9)</f>
        <v>-1.7698601201476185E-3</v>
      </c>
      <c r="F154" s="86">
        <f ca="1"/>
        <v>-1.2885983595925525E-3</v>
      </c>
      <c r="G154" s="86">
        <f ca="1"/>
        <v>-8.3314839720159458E-3</v>
      </c>
    </row>
    <row r="155" spans="5:7" x14ac:dyDescent="0.15">
      <c r="E155" s="86">
        <f t="array" aca="1" ref="E155:G155" ca="1">MultivarXs(3, 500, A$3:C$5, A$7:A$9, B$7:B$9)</f>
        <v>2.4623807114557861E-2</v>
      </c>
      <c r="F155" s="86">
        <f ca="1"/>
        <v>1.084998556214352E-2</v>
      </c>
      <c r="G155" s="86">
        <f ca="1"/>
        <v>5.957669700935463E-3</v>
      </c>
    </row>
    <row r="156" spans="5:7" x14ac:dyDescent="0.15">
      <c r="E156" s="86">
        <f t="array" aca="1" ref="E156:G156" ca="1">MultivarXs(3, 500, A$3:C$5, A$7:A$9, B$7:B$9)</f>
        <v>1.7364501761086268E-2</v>
      </c>
      <c r="F156" s="86">
        <f ca="1"/>
        <v>-2.5409696775596331E-3</v>
      </c>
      <c r="G156" s="86">
        <f ca="1"/>
        <v>-1.7660493801546703E-2</v>
      </c>
    </row>
    <row r="157" spans="5:7" x14ac:dyDescent="0.15">
      <c r="E157" s="86">
        <f t="array" aca="1" ref="E157:G157" ca="1">MultivarXs(3, 500, A$3:C$5, A$7:A$9, B$7:B$9)</f>
        <v>8.8455370066756744E-3</v>
      </c>
      <c r="F157" s="86">
        <f ca="1"/>
        <v>3.822366189470152E-2</v>
      </c>
      <c r="G157" s="86">
        <f ca="1"/>
        <v>-4.8239231957300207E-3</v>
      </c>
    </row>
    <row r="158" spans="5:7" x14ac:dyDescent="0.15">
      <c r="E158" s="86">
        <f t="array" aca="1" ref="E158:G158" ca="1">MultivarXs(3, 500, A$3:C$5, A$7:A$9, B$7:B$9)</f>
        <v>-1.3019874380243504E-2</v>
      </c>
      <c r="F158" s="86">
        <f ca="1"/>
        <v>-3.0922257932009596E-2</v>
      </c>
      <c r="G158" s="86">
        <f ca="1"/>
        <v>-1.2604324712687867E-2</v>
      </c>
    </row>
    <row r="159" spans="5:7" x14ac:dyDescent="0.15">
      <c r="E159" s="86">
        <f t="array" aca="1" ref="E159:G159" ca="1">MultivarXs(3, 500, A$3:C$5, A$7:A$9, B$7:B$9)</f>
        <v>-1.2661992623245943E-2</v>
      </c>
      <c r="F159" s="86">
        <f ca="1"/>
        <v>-1.8353955650615483E-2</v>
      </c>
      <c r="G159" s="86">
        <f ca="1"/>
        <v>-7.8535853736431648E-3</v>
      </c>
    </row>
    <row r="160" spans="5:7" x14ac:dyDescent="0.15">
      <c r="E160" s="86">
        <f t="array" aca="1" ref="E160:G160" ca="1">MultivarXs(3, 500, A$3:C$5, A$7:A$9, B$7:B$9)</f>
        <v>-2.9633781301503893E-2</v>
      </c>
      <c r="F160" s="86">
        <f ca="1"/>
        <v>-7.7111195140668626E-3</v>
      </c>
      <c r="G160" s="86">
        <f ca="1"/>
        <v>-1.1015259994582222E-3</v>
      </c>
    </row>
    <row r="161" spans="5:7" x14ac:dyDescent="0.15">
      <c r="E161" s="86">
        <f t="array" aca="1" ref="E161:G161" ca="1">MultivarXs(3, 500, A$3:C$5, A$7:A$9, B$7:B$9)</f>
        <v>2.4060622716074696E-2</v>
      </c>
      <c r="F161" s="86">
        <f ca="1"/>
        <v>2.0779749478450873E-2</v>
      </c>
      <c r="G161" s="86">
        <f ca="1"/>
        <v>8.5186187887646911E-3</v>
      </c>
    </row>
    <row r="162" spans="5:7" x14ac:dyDescent="0.15">
      <c r="E162" s="86">
        <f t="array" aca="1" ref="E162:G162" ca="1">MultivarXs(3, 500, A$3:C$5, A$7:A$9, B$7:B$9)</f>
        <v>2.5832200367808138E-2</v>
      </c>
      <c r="F162" s="86">
        <f ca="1"/>
        <v>1.8186402444128242E-2</v>
      </c>
      <c r="G162" s="86">
        <f ca="1"/>
        <v>-8.7157987955460495E-3</v>
      </c>
    </row>
    <row r="163" spans="5:7" x14ac:dyDescent="0.15">
      <c r="E163" s="86">
        <f t="array" aca="1" ref="E163:G163" ca="1">MultivarXs(3, 500, A$3:C$5, A$7:A$9, B$7:B$9)</f>
        <v>2.3494707817884521E-2</v>
      </c>
      <c r="F163" s="86">
        <f ca="1"/>
        <v>1.0078853777597785E-2</v>
      </c>
      <c r="G163" s="86">
        <f ca="1"/>
        <v>8.9243380673601855E-3</v>
      </c>
    </row>
    <row r="164" spans="5:7" x14ac:dyDescent="0.15">
      <c r="E164" s="86">
        <f t="array" aca="1" ref="E164:G164" ca="1">MultivarXs(3, 500, A$3:C$5, A$7:A$9, B$7:B$9)</f>
        <v>-4.481641588915306E-3</v>
      </c>
      <c r="F164" s="86">
        <f ca="1"/>
        <v>-1.3816858845602841E-2</v>
      </c>
      <c r="G164" s="86">
        <f ca="1"/>
        <v>-1.5712741270160278E-3</v>
      </c>
    </row>
    <row r="165" spans="5:7" x14ac:dyDescent="0.15">
      <c r="E165" s="86">
        <f t="array" aca="1" ref="E165:G165" ca="1">MultivarXs(3, 500, A$3:C$5, A$7:A$9, B$7:B$9)</f>
        <v>5.9110573457319803E-3</v>
      </c>
      <c r="F165" s="86">
        <f ca="1"/>
        <v>6.427238142279028E-3</v>
      </c>
      <c r="G165" s="86">
        <f ca="1"/>
        <v>6.908872783603217E-3</v>
      </c>
    </row>
    <row r="166" spans="5:7" x14ac:dyDescent="0.15">
      <c r="E166" s="86">
        <f t="array" aca="1" ref="E166:G166" ca="1">MultivarXs(3, 500, A$3:C$5, A$7:A$9, B$7:B$9)</f>
        <v>1.392086383505496E-2</v>
      </c>
      <c r="F166" s="86">
        <f ca="1"/>
        <v>-1.5470394720436407E-2</v>
      </c>
      <c r="G166" s="86">
        <f ca="1"/>
        <v>4.1788592257086817E-4</v>
      </c>
    </row>
    <row r="167" spans="5:7" x14ac:dyDescent="0.15">
      <c r="E167" s="86">
        <f t="array" aca="1" ref="E167:G167" ca="1">MultivarXs(3, 500, A$3:C$5, A$7:A$9, B$7:B$9)</f>
        <v>-1.408520496558373E-2</v>
      </c>
      <c r="F167" s="86">
        <f ca="1"/>
        <v>-3.7609937455389979E-2</v>
      </c>
      <c r="G167" s="86">
        <f ca="1"/>
        <v>-5.3178960041117759E-3</v>
      </c>
    </row>
    <row r="168" spans="5:7" x14ac:dyDescent="0.15">
      <c r="E168" s="86">
        <f t="array" aca="1" ref="E168:G168" ca="1">MultivarXs(3, 500, A$3:C$5, A$7:A$9, B$7:B$9)</f>
        <v>-3.668939513692128E-2</v>
      </c>
      <c r="F168" s="86">
        <f ca="1"/>
        <v>-1.1409798993062655E-2</v>
      </c>
      <c r="G168" s="86">
        <f ca="1"/>
        <v>2.7916528036775151E-3</v>
      </c>
    </row>
    <row r="169" spans="5:7" x14ac:dyDescent="0.15">
      <c r="E169" s="86">
        <f t="array" aca="1" ref="E169:G169" ca="1">MultivarXs(3, 500, A$3:C$5, A$7:A$9, B$7:B$9)</f>
        <v>1.3577626099869117E-2</v>
      </c>
      <c r="F169" s="86">
        <f ca="1"/>
        <v>5.3114134212078412E-3</v>
      </c>
      <c r="G169" s="86">
        <f ca="1"/>
        <v>7.5701451326207541E-3</v>
      </c>
    </row>
    <row r="170" spans="5:7" x14ac:dyDescent="0.15">
      <c r="E170" s="86">
        <f t="array" aca="1" ref="E170:G170" ca="1">MultivarXs(3, 500, A$3:C$5, A$7:A$9, B$7:B$9)</f>
        <v>4.5698391370387371E-3</v>
      </c>
      <c r="F170" s="86">
        <f ca="1"/>
        <v>-4.1616236018523333E-3</v>
      </c>
      <c r="G170" s="86">
        <f ca="1"/>
        <v>-7.6292796203665135E-3</v>
      </c>
    </row>
    <row r="171" spans="5:7" x14ac:dyDescent="0.15">
      <c r="E171" s="86">
        <f t="array" aca="1" ref="E171:G171" ca="1">MultivarXs(3, 500, A$3:C$5, A$7:A$9, B$7:B$9)</f>
        <v>-2.3310262673727176E-2</v>
      </c>
      <c r="F171" s="86">
        <f ca="1"/>
        <v>3.7428231071521029E-3</v>
      </c>
      <c r="G171" s="86">
        <f ca="1"/>
        <v>3.8190466761180005E-3</v>
      </c>
    </row>
    <row r="172" spans="5:7" x14ac:dyDescent="0.15">
      <c r="E172" s="86">
        <f t="array" aca="1" ref="E172:G172" ca="1">MultivarXs(3, 500, A$3:C$5, A$7:A$9, B$7:B$9)</f>
        <v>2.4485123701657057E-3</v>
      </c>
      <c r="F172" s="86">
        <f ca="1"/>
        <v>2.0698236256048368E-2</v>
      </c>
      <c r="G172" s="86">
        <f ca="1"/>
        <v>1.0357397383280103E-2</v>
      </c>
    </row>
    <row r="173" spans="5:7" x14ac:dyDescent="0.15">
      <c r="E173" s="86">
        <f t="array" aca="1" ref="E173:G173" ca="1">MultivarXs(3, 500, A$3:C$5, A$7:A$9, B$7:B$9)</f>
        <v>-1.3173961321358559E-2</v>
      </c>
      <c r="F173" s="86">
        <f ca="1"/>
        <v>1.2858525410675252E-2</v>
      </c>
      <c r="G173" s="86">
        <f ca="1"/>
        <v>-5.7881060699679875E-3</v>
      </c>
    </row>
    <row r="174" spans="5:7" x14ac:dyDescent="0.15">
      <c r="E174" s="86">
        <f t="array" aca="1" ref="E174:G174" ca="1">MultivarXs(3, 500, A$3:C$5, A$7:A$9, B$7:B$9)</f>
        <v>-2.4080125006641465E-5</v>
      </c>
      <c r="F174" s="86">
        <f ca="1"/>
        <v>6.8685607164304802E-3</v>
      </c>
      <c r="G174" s="86">
        <f ca="1"/>
        <v>-9.391182568795341E-4</v>
      </c>
    </row>
    <row r="175" spans="5:7" x14ac:dyDescent="0.15">
      <c r="E175" s="86">
        <f t="array" aca="1" ref="E175:G175" ca="1">MultivarXs(3, 500, A$3:C$5, A$7:A$9, B$7:B$9)</f>
        <v>-1.8871736606243885E-2</v>
      </c>
      <c r="F175" s="86">
        <f ca="1"/>
        <v>-2.176711039906732E-2</v>
      </c>
      <c r="G175" s="86">
        <f ca="1"/>
        <v>-6.2301218087945755E-3</v>
      </c>
    </row>
    <row r="176" spans="5:7" x14ac:dyDescent="0.15">
      <c r="E176" s="86">
        <f t="array" aca="1" ref="E176:G176" ca="1">MultivarXs(3, 500, A$3:C$5, A$7:A$9, B$7:B$9)</f>
        <v>-1.9370774859097512E-2</v>
      </c>
      <c r="F176" s="86">
        <f ca="1"/>
        <v>1.7225417655468995E-3</v>
      </c>
      <c r="G176" s="86">
        <f ca="1"/>
        <v>-1.6104918605396298E-2</v>
      </c>
    </row>
    <row r="177" spans="5:7" x14ac:dyDescent="0.15">
      <c r="E177" s="86">
        <f t="array" aca="1" ref="E177:G177" ca="1">MultivarXs(3, 500, A$3:C$5, A$7:A$9, B$7:B$9)</f>
        <v>-4.1306162437642633E-3</v>
      </c>
      <c r="F177" s="86">
        <f ca="1"/>
        <v>-4.095650569776095E-2</v>
      </c>
      <c r="G177" s="86">
        <f ca="1"/>
        <v>-1.7909453492462823E-2</v>
      </c>
    </row>
    <row r="178" spans="5:7" x14ac:dyDescent="0.15">
      <c r="E178" s="86">
        <f t="array" aca="1" ref="E178:G178" ca="1">MultivarXs(3, 500, A$3:C$5, A$7:A$9, B$7:B$9)</f>
        <v>-2.1810469134379232E-2</v>
      </c>
      <c r="F178" s="86">
        <f ca="1"/>
        <v>-1.1567097526027264E-2</v>
      </c>
      <c r="G178" s="86">
        <f ca="1"/>
        <v>1.2723102490859654E-3</v>
      </c>
    </row>
    <row r="179" spans="5:7" x14ac:dyDescent="0.15">
      <c r="E179" s="86">
        <f t="array" aca="1" ref="E179:G179" ca="1">MultivarXs(3, 500, A$3:C$5, A$7:A$9, B$7:B$9)</f>
        <v>-9.7945203716888699E-3</v>
      </c>
      <c r="F179" s="86">
        <f ca="1"/>
        <v>2.9710201296416399E-3</v>
      </c>
      <c r="G179" s="86">
        <f ca="1"/>
        <v>-3.8229076435809853E-3</v>
      </c>
    </row>
    <row r="180" spans="5:7" x14ac:dyDescent="0.15">
      <c r="E180" s="86">
        <f t="array" aca="1" ref="E180:G180" ca="1">MultivarXs(3, 500, A$3:C$5, A$7:A$9, B$7:B$9)</f>
        <v>2.6811978454101696E-3</v>
      </c>
      <c r="F180" s="86">
        <f ca="1"/>
        <v>2.4008052937528758E-2</v>
      </c>
      <c r="G180" s="86">
        <f ca="1"/>
        <v>1.2143066969607407E-2</v>
      </c>
    </row>
    <row r="181" spans="5:7" x14ac:dyDescent="0.15">
      <c r="E181" s="86">
        <f t="array" aca="1" ref="E181:G181" ca="1">MultivarXs(3, 500, A$3:C$5, A$7:A$9, B$7:B$9)</f>
        <v>2.464066016061961E-2</v>
      </c>
      <c r="F181" s="86">
        <f ca="1"/>
        <v>2.285818795931659E-2</v>
      </c>
      <c r="G181" s="86">
        <f ca="1"/>
        <v>-2.6064610038043622E-3</v>
      </c>
    </row>
    <row r="182" spans="5:7" x14ac:dyDescent="0.15">
      <c r="E182" s="86">
        <f t="array" aca="1" ref="E182:G182" ca="1">MultivarXs(3, 500, A$3:C$5, A$7:A$9, B$7:B$9)</f>
        <v>5.610728389719829E-3</v>
      </c>
      <c r="F182" s="86">
        <f ca="1"/>
        <v>-8.5585939113608667E-3</v>
      </c>
      <c r="G182" s="86">
        <f ca="1"/>
        <v>6.2390921663595424E-3</v>
      </c>
    </row>
    <row r="183" spans="5:7" x14ac:dyDescent="0.15">
      <c r="E183" s="86">
        <f t="array" aca="1" ref="E183:G183" ca="1">MultivarXs(3, 500, A$3:C$5, A$7:A$9, B$7:B$9)</f>
        <v>5.3808537671077494E-3</v>
      </c>
      <c r="F183" s="86">
        <f ca="1"/>
        <v>1.0260807381355928E-2</v>
      </c>
      <c r="G183" s="86">
        <f ca="1"/>
        <v>1.3776043836752546E-2</v>
      </c>
    </row>
    <row r="184" spans="5:7" x14ac:dyDescent="0.15">
      <c r="E184" s="86">
        <f t="array" aca="1" ref="E184:G184" ca="1">MultivarXs(3, 500, A$3:C$5, A$7:A$9, B$7:B$9)</f>
        <v>3.6829604021367389E-2</v>
      </c>
      <c r="F184" s="86">
        <f ca="1"/>
        <v>1.2334669139735625E-2</v>
      </c>
      <c r="G184" s="86">
        <f ca="1"/>
        <v>1.8183953288965682E-3</v>
      </c>
    </row>
    <row r="185" spans="5:7" x14ac:dyDescent="0.15">
      <c r="E185" s="86">
        <f t="array" aca="1" ref="E185:G185" ca="1">MultivarXs(3, 500, A$3:C$5, A$7:A$9, B$7:B$9)</f>
        <v>1.6380193241243776E-2</v>
      </c>
      <c r="F185" s="86">
        <f ca="1"/>
        <v>2.2222534442707834E-2</v>
      </c>
      <c r="G185" s="86">
        <f ca="1"/>
        <v>9.2434351677605931E-3</v>
      </c>
    </row>
    <row r="186" spans="5:7" x14ac:dyDescent="0.15">
      <c r="E186" s="86">
        <f t="array" aca="1" ref="E186:G186" ca="1">MultivarXs(3, 500, A$3:C$5, A$7:A$9, B$7:B$9)</f>
        <v>-1.5493248571977458E-2</v>
      </c>
      <c r="F186" s="86">
        <f ca="1"/>
        <v>2.5045247000460716E-3</v>
      </c>
      <c r="G186" s="86">
        <f ca="1"/>
        <v>8.4983294266991454E-3</v>
      </c>
    </row>
    <row r="187" spans="5:7" x14ac:dyDescent="0.15">
      <c r="E187" s="86">
        <f t="array" aca="1" ref="E187:G187" ca="1">MultivarXs(3, 500, A$3:C$5, A$7:A$9, B$7:B$9)</f>
        <v>1.2746114782741292E-3</v>
      </c>
      <c r="F187" s="86">
        <f ca="1"/>
        <v>-1.629264219443146E-2</v>
      </c>
      <c r="G187" s="86">
        <f ca="1"/>
        <v>-4.2877464676379772E-3</v>
      </c>
    </row>
    <row r="188" spans="5:7" x14ac:dyDescent="0.15">
      <c r="E188" s="86">
        <f t="array" aca="1" ref="E188:G188" ca="1">MultivarXs(3, 500, A$3:C$5, A$7:A$9, B$7:B$9)</f>
        <v>8.4109101890075498E-3</v>
      </c>
      <c r="F188" s="86">
        <f ca="1"/>
        <v>-1.3754909135074055E-2</v>
      </c>
      <c r="G188" s="86">
        <f ca="1"/>
        <v>9.5848220395329357E-3</v>
      </c>
    </row>
    <row r="189" spans="5:7" x14ac:dyDescent="0.15">
      <c r="E189" s="86">
        <f t="array" aca="1" ref="E189:G189" ca="1">MultivarXs(3, 500, A$3:C$5, A$7:A$9, B$7:B$9)</f>
        <v>-2.1006868409696851E-2</v>
      </c>
      <c r="F189" s="86">
        <f ca="1"/>
        <v>-1.4174963332627512E-3</v>
      </c>
      <c r="G189" s="86">
        <f ca="1"/>
        <v>4.4340084824438354E-3</v>
      </c>
    </row>
    <row r="190" spans="5:7" x14ac:dyDescent="0.15">
      <c r="E190" s="86">
        <f t="array" aca="1" ref="E190:G190" ca="1">MultivarXs(3, 500, A$3:C$5, A$7:A$9, B$7:B$9)</f>
        <v>-4.4744495437104414E-3</v>
      </c>
      <c r="F190" s="86">
        <f ca="1"/>
        <v>-3.3661005297974484E-3</v>
      </c>
      <c r="G190" s="86">
        <f ca="1"/>
        <v>-4.2182811910449836E-3</v>
      </c>
    </row>
    <row r="191" spans="5:7" x14ac:dyDescent="0.15">
      <c r="E191" s="86">
        <f t="array" aca="1" ref="E191:G191" ca="1">MultivarXs(3, 500, A$3:C$5, A$7:A$9, B$7:B$9)</f>
        <v>2.447506828812623E-3</v>
      </c>
      <c r="F191" s="86">
        <f ca="1"/>
        <v>-2.2479496795813295E-2</v>
      </c>
      <c r="G191" s="86">
        <f ca="1"/>
        <v>2.2167944759176332E-3</v>
      </c>
    </row>
    <row r="192" spans="5:7" x14ac:dyDescent="0.15">
      <c r="E192" s="86">
        <f t="array" aca="1" ref="E192:G192" ca="1">MultivarXs(3, 500, A$3:C$5, A$7:A$9, B$7:B$9)</f>
        <v>3.7558334244925259E-2</v>
      </c>
      <c r="F192" s="86">
        <f ca="1"/>
        <v>9.3154671758060442E-4</v>
      </c>
      <c r="G192" s="86">
        <f ca="1"/>
        <v>-7.8946389419892976E-4</v>
      </c>
    </row>
    <row r="193" spans="5:7" x14ac:dyDescent="0.15">
      <c r="E193" s="86">
        <f t="array" aca="1" ref="E193:G193" ca="1">MultivarXs(3, 500, A$3:C$5, A$7:A$9, B$7:B$9)</f>
        <v>3.1532502203777736E-3</v>
      </c>
      <c r="F193" s="86">
        <f ca="1"/>
        <v>-4.7725347248095251E-3</v>
      </c>
      <c r="G193" s="86">
        <f ca="1"/>
        <v>2.9626226970478095E-3</v>
      </c>
    </row>
    <row r="194" spans="5:7" x14ac:dyDescent="0.15">
      <c r="E194" s="86">
        <f t="array" aca="1" ref="E194:G194" ca="1">MultivarXs(3, 500, A$3:C$5, A$7:A$9, B$7:B$9)</f>
        <v>1.7757619711486507E-2</v>
      </c>
      <c r="F194" s="86">
        <f ca="1"/>
        <v>5.2010417154409539E-3</v>
      </c>
      <c r="G194" s="86">
        <f ca="1"/>
        <v>7.9279340822008514E-3</v>
      </c>
    </row>
    <row r="195" spans="5:7" x14ac:dyDescent="0.15">
      <c r="E195" s="86">
        <f t="array" aca="1" ref="E195:G195" ca="1">MultivarXs(3, 500, A$3:C$5, A$7:A$9, B$7:B$9)</f>
        <v>-4.8166020064027634E-3</v>
      </c>
      <c r="F195" s="86">
        <f ca="1"/>
        <v>-1.1570928302870523E-2</v>
      </c>
      <c r="G195" s="86">
        <f ca="1"/>
        <v>2.9570195877950614E-4</v>
      </c>
    </row>
    <row r="196" spans="5:7" x14ac:dyDescent="0.15">
      <c r="E196" s="86">
        <f t="array" aca="1" ref="E196:G196" ca="1">MultivarXs(3, 500, A$3:C$5, A$7:A$9, B$7:B$9)</f>
        <v>1.3529260067979372E-2</v>
      </c>
      <c r="F196" s="86">
        <f ca="1"/>
        <v>1.2880508793596556E-3</v>
      </c>
      <c r="G196" s="86">
        <f ca="1"/>
        <v>2.630218172565606E-3</v>
      </c>
    </row>
    <row r="197" spans="5:7" x14ac:dyDescent="0.15">
      <c r="E197" s="86">
        <f t="array" aca="1" ref="E197:G197" ca="1">MultivarXs(3, 500, A$3:C$5, A$7:A$9, B$7:B$9)</f>
        <v>5.3000127219368053E-3</v>
      </c>
      <c r="F197" s="86">
        <f ca="1"/>
        <v>-1.8228388470180944E-2</v>
      </c>
      <c r="G197" s="86">
        <f ca="1"/>
        <v>-3.0559481131183261E-3</v>
      </c>
    </row>
    <row r="198" spans="5:7" x14ac:dyDescent="0.15">
      <c r="E198" s="86">
        <f t="array" aca="1" ref="E198:G198" ca="1">MultivarXs(3, 500, A$3:C$5, A$7:A$9, B$7:B$9)</f>
        <v>-3.5607156583214585E-4</v>
      </c>
      <c r="F198" s="86">
        <f ca="1"/>
        <v>5.0544185909999189E-3</v>
      </c>
      <c r="G198" s="86">
        <f ca="1"/>
        <v>2.0585875754057887E-3</v>
      </c>
    </row>
    <row r="199" spans="5:7" x14ac:dyDescent="0.15">
      <c r="E199" s="86">
        <f t="array" aca="1" ref="E199:G199" ca="1">MultivarXs(3, 500, A$3:C$5, A$7:A$9, B$7:B$9)</f>
        <v>-8.7969586622342836E-3</v>
      </c>
      <c r="F199" s="86">
        <f ca="1"/>
        <v>-6.2932049189552751E-4</v>
      </c>
      <c r="G199" s="86">
        <f ca="1"/>
        <v>3.0334371743058908E-3</v>
      </c>
    </row>
    <row r="200" spans="5:7" x14ac:dyDescent="0.15">
      <c r="E200" s="86">
        <f t="array" aca="1" ref="E200:G200" ca="1">MultivarXs(3, 500, A$3:C$5, A$7:A$9, B$7:B$9)</f>
        <v>2.6225511438693703E-2</v>
      </c>
      <c r="F200" s="86">
        <f ca="1"/>
        <v>9.5579256012260725E-3</v>
      </c>
      <c r="G200" s="86">
        <f ca="1"/>
        <v>-6.2661615303158027E-3</v>
      </c>
    </row>
    <row r="201" spans="5:7" x14ac:dyDescent="0.15">
      <c r="E201" s="86">
        <f t="array" aca="1" ref="E201:G201" ca="1">MultivarXs(3, 500, A$3:C$5, A$7:A$9, B$7:B$9)</f>
        <v>1.2599999331356472E-2</v>
      </c>
      <c r="F201" s="86">
        <f ca="1"/>
        <v>2.7691728209806418E-2</v>
      </c>
      <c r="G201" s="86">
        <f ca="1"/>
        <v>8.3017352484532365E-3</v>
      </c>
    </row>
    <row r="202" spans="5:7" x14ac:dyDescent="0.15">
      <c r="E202" s="86">
        <f t="array" aca="1" ref="E202:G202" ca="1">MultivarXs(3, 500, A$3:C$5, A$7:A$9, B$7:B$9)</f>
        <v>-4.839397527385934E-3</v>
      </c>
      <c r="F202" s="86">
        <f ca="1"/>
        <v>-1.1101119298649318E-2</v>
      </c>
      <c r="G202" s="86">
        <f ca="1"/>
        <v>-5.2991245971350668E-3</v>
      </c>
    </row>
    <row r="203" spans="5:7" x14ac:dyDescent="0.15">
      <c r="E203" s="86">
        <f t="array" aca="1" ref="E203:G203" ca="1">MultivarXs(3, 500, A$3:C$5, A$7:A$9, B$7:B$9)</f>
        <v>1.240783507614094E-2</v>
      </c>
      <c r="F203" s="86">
        <f ca="1"/>
        <v>1.8988609252660694E-2</v>
      </c>
      <c r="G203" s="86">
        <f ca="1"/>
        <v>-1.8091494107327403E-3</v>
      </c>
    </row>
    <row r="204" spans="5:7" x14ac:dyDescent="0.15">
      <c r="E204" s="86">
        <f t="array" aca="1" ref="E204:G204" ca="1">MultivarXs(3, 500, A$3:C$5, A$7:A$9, B$7:B$9)</f>
        <v>-8.9161715891824291E-3</v>
      </c>
      <c r="F204" s="86">
        <f ca="1"/>
        <v>-6.2015347611937756E-4</v>
      </c>
      <c r="G204" s="86">
        <f ca="1"/>
        <v>1.0669196943426825E-2</v>
      </c>
    </row>
    <row r="205" spans="5:7" x14ac:dyDescent="0.15">
      <c r="E205" s="86">
        <f t="array" aca="1" ref="E205:G205" ca="1">MultivarXs(3, 500, A$3:C$5, A$7:A$9, B$7:B$9)</f>
        <v>-8.5099485982883631E-3</v>
      </c>
      <c r="F205" s="86">
        <f ca="1"/>
        <v>1.4490855317027974E-3</v>
      </c>
      <c r="G205" s="86">
        <f ca="1"/>
        <v>2.9186645226202805E-3</v>
      </c>
    </row>
    <row r="206" spans="5:7" x14ac:dyDescent="0.15">
      <c r="E206" s="86">
        <f t="array" aca="1" ref="E206:G206" ca="1">MultivarXs(3, 500, A$3:C$5, A$7:A$9, B$7:B$9)</f>
        <v>-3.2407135707593474E-2</v>
      </c>
      <c r="F206" s="86">
        <f ca="1"/>
        <v>3.3628178870210765E-3</v>
      </c>
      <c r="G206" s="86">
        <f ca="1"/>
        <v>4.4268721691337646E-4</v>
      </c>
    </row>
    <row r="207" spans="5:7" x14ac:dyDescent="0.15">
      <c r="E207" s="86">
        <f t="array" aca="1" ref="E207:G207" ca="1">MultivarXs(3, 500, A$3:C$5, A$7:A$9, B$7:B$9)</f>
        <v>-1.524759658663165E-2</v>
      </c>
      <c r="F207" s="86">
        <f ca="1"/>
        <v>2.3302984398484588E-2</v>
      </c>
      <c r="G207" s="86">
        <f ca="1"/>
        <v>-1.3305408786689158E-2</v>
      </c>
    </row>
    <row r="208" spans="5:7" x14ac:dyDescent="0.15">
      <c r="E208" s="86">
        <f t="array" aca="1" ref="E208:G208" ca="1">MultivarXs(3, 500, A$3:C$5, A$7:A$9, B$7:B$9)</f>
        <v>1.9955242506521836E-2</v>
      </c>
      <c r="F208" s="86">
        <f ca="1"/>
        <v>2.0583251103735697E-2</v>
      </c>
      <c r="G208" s="86">
        <f ca="1"/>
        <v>1.3087447968782263E-3</v>
      </c>
    </row>
    <row r="209" spans="5:7" x14ac:dyDescent="0.15">
      <c r="E209" s="86">
        <f t="array" aca="1" ref="E209:G209" ca="1">MultivarXs(3, 500, A$3:C$5, A$7:A$9, B$7:B$9)</f>
        <v>-1.0397400431138583E-3</v>
      </c>
      <c r="F209" s="86">
        <f ca="1"/>
        <v>2.8958241615093618E-3</v>
      </c>
      <c r="G209" s="86">
        <f ca="1"/>
        <v>2.0851809217187003E-2</v>
      </c>
    </row>
    <row r="210" spans="5:7" x14ac:dyDescent="0.15">
      <c r="E210" s="86">
        <f t="array" aca="1" ref="E210:G210" ca="1">MultivarXs(3, 500, A$3:C$5, A$7:A$9, B$7:B$9)</f>
        <v>-1.3258351745942216E-2</v>
      </c>
      <c r="F210" s="86">
        <f ca="1"/>
        <v>2.5064513783701692E-5</v>
      </c>
      <c r="G210" s="86">
        <f ca="1"/>
        <v>-1.2556374847501583E-2</v>
      </c>
    </row>
    <row r="211" spans="5:7" x14ac:dyDescent="0.15">
      <c r="E211" s="86">
        <f t="array" aca="1" ref="E211:G211" ca="1">MultivarXs(3, 500, A$3:C$5, A$7:A$9, B$7:B$9)</f>
        <v>-1.3690725555572965E-2</v>
      </c>
      <c r="F211" s="86">
        <f ca="1"/>
        <v>-1.2434872337799777E-2</v>
      </c>
      <c r="G211" s="86">
        <f ca="1"/>
        <v>-1.0989935985150246E-3</v>
      </c>
    </row>
    <row r="212" spans="5:7" x14ac:dyDescent="0.15">
      <c r="E212" s="86">
        <f t="array" aca="1" ref="E212:G212" ca="1">MultivarXs(3, 500, A$3:C$5, A$7:A$9, B$7:B$9)</f>
        <v>4.3603902040698935E-4</v>
      </c>
      <c r="F212" s="86">
        <f ca="1"/>
        <v>-2.4927142948994903E-3</v>
      </c>
      <c r="G212" s="86">
        <f ca="1"/>
        <v>-7.2267045196268923E-3</v>
      </c>
    </row>
    <row r="213" spans="5:7" x14ac:dyDescent="0.15">
      <c r="E213" s="86">
        <f t="array" aca="1" ref="E213:G213" ca="1">MultivarXs(3, 500, A$3:C$5, A$7:A$9, B$7:B$9)</f>
        <v>1.2856736097707915E-2</v>
      </c>
      <c r="F213" s="86">
        <f ca="1"/>
        <v>1.9478471683513583E-2</v>
      </c>
      <c r="G213" s="86">
        <f ca="1"/>
        <v>1.0262447324004038E-2</v>
      </c>
    </row>
    <row r="214" spans="5:7" x14ac:dyDescent="0.15">
      <c r="E214" s="86">
        <f t="array" aca="1" ref="E214:G214" ca="1">MultivarXs(3, 500, A$3:C$5, A$7:A$9, B$7:B$9)</f>
        <v>-2.1459287603415169E-2</v>
      </c>
      <c r="F214" s="86">
        <f ca="1"/>
        <v>5.8047356638663171E-3</v>
      </c>
      <c r="G214" s="86">
        <f ca="1"/>
        <v>-4.9146274294656128E-3</v>
      </c>
    </row>
    <row r="215" spans="5:7" x14ac:dyDescent="0.15">
      <c r="E215" s="86">
        <f t="array" aca="1" ref="E215:G215" ca="1">MultivarXs(3, 500, A$3:C$5, A$7:A$9, B$7:B$9)</f>
        <v>-7.5564749046604001E-3</v>
      </c>
      <c r="F215" s="86">
        <f ca="1"/>
        <v>1.8984252181765353E-2</v>
      </c>
      <c r="G215" s="86">
        <f ca="1"/>
        <v>-3.929682181369595E-3</v>
      </c>
    </row>
    <row r="216" spans="5:7" x14ac:dyDescent="0.15">
      <c r="E216" s="86">
        <f t="array" aca="1" ref="E216:G216" ca="1">MultivarXs(3, 500, A$3:C$5, A$7:A$9, B$7:B$9)</f>
        <v>-4.2361394935391192E-2</v>
      </c>
      <c r="F216" s="86">
        <f ca="1"/>
        <v>-2.2051271081398986E-2</v>
      </c>
      <c r="G216" s="86">
        <f ca="1"/>
        <v>4.7228084750492562E-3</v>
      </c>
    </row>
    <row r="217" spans="5:7" x14ac:dyDescent="0.15">
      <c r="E217" s="86">
        <f t="array" aca="1" ref="E217:G217" ca="1">MultivarXs(3, 500, A$3:C$5, A$7:A$9, B$7:B$9)</f>
        <v>3.3328271707250098E-2</v>
      </c>
      <c r="F217" s="86">
        <f ca="1"/>
        <v>8.5707313476103292E-3</v>
      </c>
      <c r="G217" s="86">
        <f ca="1"/>
        <v>7.0335446932828834E-3</v>
      </c>
    </row>
    <row r="218" spans="5:7" x14ac:dyDescent="0.15">
      <c r="E218" s="86">
        <f t="array" aca="1" ref="E218:G218" ca="1">MultivarXs(3, 500, A$3:C$5, A$7:A$9, B$7:B$9)</f>
        <v>1.1684093908567166E-2</v>
      </c>
      <c r="F218" s="86">
        <f ca="1"/>
        <v>8.0297476097187185E-3</v>
      </c>
      <c r="G218" s="86">
        <f ca="1"/>
        <v>3.8903991192307951E-3</v>
      </c>
    </row>
    <row r="219" spans="5:7" x14ac:dyDescent="0.15">
      <c r="E219" s="86">
        <f t="array" aca="1" ref="E219:G219" ca="1">MultivarXs(3, 500, A$3:C$5, A$7:A$9, B$7:B$9)</f>
        <v>4.5817172273872626E-3</v>
      </c>
      <c r="F219" s="86">
        <f ca="1"/>
        <v>-1.5048711884138453E-2</v>
      </c>
      <c r="G219" s="86">
        <f ca="1"/>
        <v>7.7956716484727578E-3</v>
      </c>
    </row>
    <row r="220" spans="5:7" x14ac:dyDescent="0.15">
      <c r="E220" s="86">
        <f t="array" aca="1" ref="E220:G220" ca="1">MultivarXs(3, 500, A$3:C$5, A$7:A$9, B$7:B$9)</f>
        <v>2.4107189929405852E-2</v>
      </c>
      <c r="F220" s="86">
        <f ca="1"/>
        <v>1.463532447236047E-2</v>
      </c>
      <c r="G220" s="86">
        <f ca="1"/>
        <v>5.2885055593724526E-3</v>
      </c>
    </row>
    <row r="221" spans="5:7" x14ac:dyDescent="0.15">
      <c r="E221" s="86">
        <f t="array" aca="1" ref="E221:G221" ca="1">MultivarXs(3, 500, A$3:C$5, A$7:A$9, B$7:B$9)</f>
        <v>-8.0662798931075835E-3</v>
      </c>
      <c r="F221" s="86">
        <f ca="1"/>
        <v>1.6066150443917737E-2</v>
      </c>
      <c r="G221" s="86">
        <f ca="1"/>
        <v>8.4939356509404536E-3</v>
      </c>
    </row>
    <row r="222" spans="5:7" x14ac:dyDescent="0.15">
      <c r="E222" s="86">
        <f t="array" aca="1" ref="E222:G222" ca="1">MultivarXs(3, 500, A$3:C$5, A$7:A$9, B$7:B$9)</f>
        <v>2.3975506251986672E-2</v>
      </c>
      <c r="F222" s="86">
        <f ca="1"/>
        <v>1.1939126354037937E-2</v>
      </c>
      <c r="G222" s="86">
        <f ca="1"/>
        <v>-8.8242016854912647E-3</v>
      </c>
    </row>
    <row r="223" spans="5:7" x14ac:dyDescent="0.15">
      <c r="E223" s="86">
        <f t="array" aca="1" ref="E223:G223" ca="1">MultivarXs(3, 500, A$3:C$5, A$7:A$9, B$7:B$9)</f>
        <v>-3.8437441718651794E-2</v>
      </c>
      <c r="F223" s="86">
        <f ca="1"/>
        <v>4.3824656825676199E-3</v>
      </c>
      <c r="G223" s="86">
        <f ca="1"/>
        <v>-8.6965752003550535E-3</v>
      </c>
    </row>
    <row r="224" spans="5:7" x14ac:dyDescent="0.15">
      <c r="E224" s="86">
        <f t="array" aca="1" ref="E224:G224" ca="1">MultivarXs(3, 500, A$3:C$5, A$7:A$9, B$7:B$9)</f>
        <v>-1.6975428893586008E-2</v>
      </c>
      <c r="F224" s="86">
        <f ca="1"/>
        <v>-1.5452661868285112E-2</v>
      </c>
      <c r="G224" s="86">
        <f ca="1"/>
        <v>-3.930084977327144E-3</v>
      </c>
    </row>
    <row r="225" spans="5:7" x14ac:dyDescent="0.15">
      <c r="E225" s="86">
        <f t="array" aca="1" ref="E225:G225" ca="1">MultivarXs(3, 500, A$3:C$5, A$7:A$9, B$7:B$9)</f>
        <v>-1.1775294333193E-2</v>
      </c>
      <c r="F225" s="86">
        <f ca="1"/>
        <v>1.1449390896440153E-2</v>
      </c>
      <c r="G225" s="86">
        <f ca="1"/>
        <v>1.0862456642135605E-2</v>
      </c>
    </row>
    <row r="226" spans="5:7" x14ac:dyDescent="0.15">
      <c r="E226" s="86">
        <f t="array" aca="1" ref="E226:G226" ca="1">MultivarXs(3, 500, A$3:C$5, A$7:A$9, B$7:B$9)</f>
        <v>5.3018186360804173E-3</v>
      </c>
      <c r="F226" s="86">
        <f ca="1"/>
        <v>9.4180095729759373E-3</v>
      </c>
      <c r="G226" s="86">
        <f ca="1"/>
        <v>4.1697861525070998E-3</v>
      </c>
    </row>
    <row r="227" spans="5:7" x14ac:dyDescent="0.15">
      <c r="E227" s="86">
        <f t="array" aca="1" ref="E227:G227" ca="1">MultivarXs(3, 500, A$3:C$5, A$7:A$9, B$7:B$9)</f>
        <v>1.5251822315332291E-2</v>
      </c>
      <c r="F227" s="86">
        <f ca="1"/>
        <v>3.6254547172052966E-3</v>
      </c>
      <c r="G227" s="86">
        <f ca="1"/>
        <v>-6.5438320968888922E-4</v>
      </c>
    </row>
    <row r="228" spans="5:7" x14ac:dyDescent="0.15">
      <c r="E228" s="86">
        <f t="array" aca="1" ref="E228:G228" ca="1">MultivarXs(3, 500, A$3:C$5, A$7:A$9, B$7:B$9)</f>
        <v>1.9031750150766497E-2</v>
      </c>
      <c r="F228" s="86">
        <f ca="1"/>
        <v>2.2151659976509842E-2</v>
      </c>
      <c r="G228" s="86">
        <f ca="1"/>
        <v>-9.2136368680453915E-3</v>
      </c>
    </row>
    <row r="229" spans="5:7" x14ac:dyDescent="0.15">
      <c r="E229" s="86">
        <f t="array" aca="1" ref="E229:G229" ca="1">MultivarXs(3, 500, A$3:C$5, A$7:A$9, B$7:B$9)</f>
        <v>-1.7371753640021467E-2</v>
      </c>
      <c r="F229" s="86">
        <f ca="1"/>
        <v>8.9790549856699018E-3</v>
      </c>
      <c r="G229" s="86">
        <f ca="1"/>
        <v>-3.1789727452692591E-4</v>
      </c>
    </row>
    <row r="230" spans="5:7" x14ac:dyDescent="0.15">
      <c r="E230" s="86">
        <f t="array" aca="1" ref="E230:G230" ca="1">MultivarXs(3, 500, A$3:C$5, A$7:A$9, B$7:B$9)</f>
        <v>7.7363001245062176E-3</v>
      </c>
      <c r="F230" s="86">
        <f ca="1"/>
        <v>1.2645403840402024E-2</v>
      </c>
      <c r="G230" s="86">
        <f ca="1"/>
        <v>3.0412241443444647E-3</v>
      </c>
    </row>
    <row r="231" spans="5:7" x14ac:dyDescent="0.15">
      <c r="E231" s="86">
        <f t="array" aca="1" ref="E231:G231" ca="1">MultivarXs(3, 500, A$3:C$5, A$7:A$9, B$7:B$9)</f>
        <v>1.2331797247622381E-3</v>
      </c>
      <c r="F231" s="86">
        <f ca="1"/>
        <v>-3.3242882593801384E-3</v>
      </c>
      <c r="G231" s="86">
        <f ca="1"/>
        <v>9.6607053517901321E-3</v>
      </c>
    </row>
    <row r="232" spans="5:7" x14ac:dyDescent="0.15">
      <c r="E232" s="86">
        <f t="array" aca="1" ref="E232:G232" ca="1">MultivarXs(3, 500, A$3:C$5, A$7:A$9, B$7:B$9)</f>
        <v>-1.3191782904039748E-2</v>
      </c>
      <c r="F232" s="86">
        <f ca="1"/>
        <v>1.8236367113483951E-2</v>
      </c>
      <c r="G232" s="86">
        <f ca="1"/>
        <v>2.11653088292733E-2</v>
      </c>
    </row>
    <row r="233" spans="5:7" x14ac:dyDescent="0.15">
      <c r="E233" s="86">
        <f t="array" aca="1" ref="E233:G233" ca="1">MultivarXs(3, 500, A$3:C$5, A$7:A$9, B$7:B$9)</f>
        <v>6.7211795875246798E-3</v>
      </c>
      <c r="F233" s="86">
        <f ca="1"/>
        <v>8.453055993157694E-4</v>
      </c>
      <c r="G233" s="86">
        <f ca="1"/>
        <v>-6.2170449568104758E-4</v>
      </c>
    </row>
    <row r="234" spans="5:7" x14ac:dyDescent="0.15">
      <c r="E234" s="86">
        <f t="array" aca="1" ref="E234:G234" ca="1">MultivarXs(3, 500, A$3:C$5, A$7:A$9, B$7:B$9)</f>
        <v>7.9699901058517836E-3</v>
      </c>
      <c r="F234" s="86">
        <f ca="1"/>
        <v>1.5888226477059612E-2</v>
      </c>
      <c r="G234" s="86">
        <f ca="1"/>
        <v>4.0093841772401708E-3</v>
      </c>
    </row>
    <row r="235" spans="5:7" x14ac:dyDescent="0.15">
      <c r="E235" s="86">
        <f t="array" aca="1" ref="E235:G235" ca="1">MultivarXs(3, 500, A$3:C$5, A$7:A$9, B$7:B$9)</f>
        <v>-6.2435983222487593E-3</v>
      </c>
      <c r="F235" s="86">
        <f ca="1"/>
        <v>1.0740658137730529E-2</v>
      </c>
      <c r="G235" s="86">
        <f ca="1"/>
        <v>-2.6033189005454415E-3</v>
      </c>
    </row>
    <row r="236" spans="5:7" x14ac:dyDescent="0.15">
      <c r="E236" s="86">
        <f t="array" aca="1" ref="E236:G236" ca="1">MultivarXs(3, 500, A$3:C$5, A$7:A$9, B$7:B$9)</f>
        <v>2.0564824002305589E-2</v>
      </c>
      <c r="F236" s="86">
        <f ca="1"/>
        <v>3.4889741555942357E-2</v>
      </c>
      <c r="G236" s="86">
        <f ca="1"/>
        <v>7.4601870502764411E-3</v>
      </c>
    </row>
    <row r="237" spans="5:7" x14ac:dyDescent="0.15">
      <c r="E237" s="86">
        <f t="array" aca="1" ref="E237:G237" ca="1">MultivarXs(3, 500, A$3:C$5, A$7:A$9, B$7:B$9)</f>
        <v>-1.1948292167459325E-2</v>
      </c>
      <c r="F237" s="86">
        <f ca="1"/>
        <v>-1.3556826384573574E-2</v>
      </c>
      <c r="G237" s="86">
        <f ca="1"/>
        <v>-3.2731320754477242E-3</v>
      </c>
    </row>
    <row r="238" spans="5:7" x14ac:dyDescent="0.15">
      <c r="E238" s="86">
        <f t="array" aca="1" ref="E238:G238" ca="1">MultivarXs(3, 500, A$3:C$5, A$7:A$9, B$7:B$9)</f>
        <v>1.1876765911036022E-3</v>
      </c>
      <c r="F238" s="86">
        <f ca="1"/>
        <v>-1.7504695541475077E-2</v>
      </c>
      <c r="G238" s="86">
        <f ca="1"/>
        <v>6.4724254323539135E-3</v>
      </c>
    </row>
    <row r="239" spans="5:7" x14ac:dyDescent="0.15">
      <c r="E239" s="86">
        <f t="array" aca="1" ref="E239:G239" ca="1">MultivarXs(3, 500, A$3:C$5, A$7:A$9, B$7:B$9)</f>
        <v>1.6249378525580538E-4</v>
      </c>
      <c r="F239" s="86">
        <f ca="1"/>
        <v>1.8970020650274495E-2</v>
      </c>
      <c r="G239" s="86">
        <f ca="1"/>
        <v>6.288169008091123E-3</v>
      </c>
    </row>
    <row r="240" spans="5:7" x14ac:dyDescent="0.15">
      <c r="E240" s="86">
        <f t="array" aca="1" ref="E240:G240" ca="1">MultivarXs(3, 500, A$3:C$5, A$7:A$9, B$7:B$9)</f>
        <v>9.293900326906801E-3</v>
      </c>
      <c r="F240" s="86">
        <f ca="1"/>
        <v>1.7228819861064872E-2</v>
      </c>
      <c r="G240" s="86">
        <f ca="1"/>
        <v>8.7254266889300145E-4</v>
      </c>
    </row>
    <row r="241" spans="5:7" x14ac:dyDescent="0.15">
      <c r="E241" s="86">
        <f t="array" aca="1" ref="E241:G241" ca="1">MultivarXs(3, 500, A$3:C$5, A$7:A$9, B$7:B$9)</f>
        <v>1.3658352022065049E-3</v>
      </c>
      <c r="F241" s="86">
        <f ca="1"/>
        <v>2.4156973275205523E-2</v>
      </c>
      <c r="G241" s="86">
        <f ca="1"/>
        <v>2.7628799613110657E-3</v>
      </c>
    </row>
    <row r="242" spans="5:7" x14ac:dyDescent="0.15">
      <c r="E242" s="86">
        <f t="array" aca="1" ref="E242:G242" ca="1">MultivarXs(3, 500, A$3:C$5, A$7:A$9, B$7:B$9)</f>
        <v>1.8334579085326444E-2</v>
      </c>
      <c r="F242" s="86">
        <f ca="1"/>
        <v>2.9050032685012807E-2</v>
      </c>
      <c r="G242" s="86">
        <f ca="1"/>
        <v>9.8090338268354785E-3</v>
      </c>
    </row>
    <row r="243" spans="5:7" x14ac:dyDescent="0.15">
      <c r="E243" s="86">
        <f t="array" aca="1" ref="E243:G243" ca="1">MultivarXs(3, 500, A$3:C$5, A$7:A$9, B$7:B$9)</f>
        <v>-9.6306323940677212E-3</v>
      </c>
      <c r="F243" s="86">
        <f ca="1"/>
        <v>3.6030111768435227E-4</v>
      </c>
      <c r="G243" s="86">
        <f ca="1"/>
        <v>9.6014285557170769E-3</v>
      </c>
    </row>
    <row r="244" spans="5:7" x14ac:dyDescent="0.15">
      <c r="E244" s="86">
        <f t="array" aca="1" ref="E244:G244" ca="1">MultivarXs(3, 500, A$3:C$5, A$7:A$9, B$7:B$9)</f>
        <v>-1.4774528864082561E-2</v>
      </c>
      <c r="F244" s="86">
        <f ca="1"/>
        <v>1.0584801602238181E-2</v>
      </c>
      <c r="G244" s="86">
        <f ca="1"/>
        <v>1.8622873221535322E-3</v>
      </c>
    </row>
    <row r="245" spans="5:7" x14ac:dyDescent="0.15">
      <c r="E245" s="86">
        <f t="array" aca="1" ref="E245:G245" ca="1">MultivarXs(3, 500, A$3:C$5, A$7:A$9, B$7:B$9)</f>
        <v>2.2007119339372348E-2</v>
      </c>
      <c r="F245" s="86">
        <f ca="1"/>
        <v>1.0979034218789852E-3</v>
      </c>
      <c r="G245" s="86">
        <f ca="1"/>
        <v>8.5218665510151048E-4</v>
      </c>
    </row>
    <row r="246" spans="5:7" x14ac:dyDescent="0.15">
      <c r="E246" s="86">
        <f t="array" aca="1" ref="E246:G246" ca="1">MultivarXs(3, 500, A$3:C$5, A$7:A$9, B$7:B$9)</f>
        <v>2.291246744351156E-2</v>
      </c>
      <c r="F246" s="86">
        <f ca="1"/>
        <v>-7.2983318094498231E-3</v>
      </c>
      <c r="G246" s="86">
        <f ca="1"/>
        <v>-2.4398987590932963E-3</v>
      </c>
    </row>
    <row r="247" spans="5:7" x14ac:dyDescent="0.15">
      <c r="E247" s="86">
        <f t="array" aca="1" ref="E247:G247" ca="1">MultivarXs(3, 500, A$3:C$5, A$7:A$9, B$7:B$9)</f>
        <v>1.1416500618720019E-2</v>
      </c>
      <c r="F247" s="86">
        <f ca="1"/>
        <v>1.194591770209235E-2</v>
      </c>
      <c r="G247" s="86">
        <f ca="1"/>
        <v>-5.7351961989384175E-4</v>
      </c>
    </row>
    <row r="248" spans="5:7" x14ac:dyDescent="0.15">
      <c r="E248" s="86">
        <f t="array" aca="1" ref="E248:G248" ca="1">MultivarXs(3, 500, A$3:C$5, A$7:A$9, B$7:B$9)</f>
        <v>2.4758332953100481E-2</v>
      </c>
      <c r="F248" s="86">
        <f ca="1"/>
        <v>1.943332086008763E-2</v>
      </c>
      <c r="G248" s="86">
        <f ca="1"/>
        <v>1.5320221550079978E-3</v>
      </c>
    </row>
    <row r="249" spans="5:7" x14ac:dyDescent="0.15">
      <c r="E249" s="86">
        <f t="array" aca="1" ref="E249:G249" ca="1">MultivarXs(3, 500, A$3:C$5, A$7:A$9, B$7:B$9)</f>
        <v>1.6854797399627773E-2</v>
      </c>
      <c r="F249" s="86">
        <f ca="1"/>
        <v>3.3978333406475644E-2</v>
      </c>
      <c r="G249" s="86">
        <f ca="1"/>
        <v>8.9201129531047956E-3</v>
      </c>
    </row>
    <row r="250" spans="5:7" x14ac:dyDescent="0.15">
      <c r="E250" s="86">
        <f t="array" aca="1" ref="E250:G250" ca="1">MultivarXs(3, 500, A$3:C$5, A$7:A$9, B$7:B$9)</f>
        <v>1.3041990059315825E-2</v>
      </c>
      <c r="F250" s="86">
        <f ca="1"/>
        <v>2.9946064441162403E-2</v>
      </c>
      <c r="G250" s="86">
        <f ca="1"/>
        <v>5.2411317854979232E-3</v>
      </c>
    </row>
    <row r="251" spans="5:7" x14ac:dyDescent="0.15">
      <c r="E251" s="86">
        <f t="array" aca="1" ref="E251:G251" ca="1">MultivarXs(3, 500, A$3:C$5, A$7:A$9, B$7:B$9)</f>
        <v>-5.152373711347716E-3</v>
      </c>
      <c r="F251" s="86">
        <f ca="1"/>
        <v>2.7336766077207045E-2</v>
      </c>
      <c r="G251" s="86">
        <f ca="1"/>
        <v>-1.6932718828998855E-3</v>
      </c>
    </row>
    <row r="252" spans="5:7" x14ac:dyDescent="0.15">
      <c r="E252" s="86">
        <f t="array" aca="1" ref="E252:G252" ca="1">MultivarXs(3, 500, A$3:C$5, A$7:A$9, B$7:B$9)</f>
        <v>1.7134638532134493E-2</v>
      </c>
      <c r="F252" s="86">
        <f ca="1"/>
        <v>1.4898711718653998E-2</v>
      </c>
      <c r="G252" s="86">
        <f ca="1"/>
        <v>-4.7950759381568927E-3</v>
      </c>
    </row>
    <row r="253" spans="5:7" x14ac:dyDescent="0.15">
      <c r="E253" s="86">
        <f t="array" aca="1" ref="E253:G253" ca="1">MultivarXs(3, 500, A$3:C$5, A$7:A$9, B$7:B$9)</f>
        <v>4.7579917082163133E-3</v>
      </c>
      <c r="F253" s="86">
        <f ca="1"/>
        <v>-2.1969528842487908E-2</v>
      </c>
      <c r="G253" s="86">
        <f ca="1"/>
        <v>1.4421968261896324E-2</v>
      </c>
    </row>
    <row r="254" spans="5:7" x14ac:dyDescent="0.15">
      <c r="E254" s="86">
        <f t="array" aca="1" ref="E254:G254" ca="1">MultivarXs(3, 500, A$3:C$5, A$7:A$9, B$7:B$9)</f>
        <v>-1.076149538326087E-2</v>
      </c>
      <c r="F254" s="86">
        <f ca="1"/>
        <v>5.1795999695176597E-5</v>
      </c>
      <c r="G254" s="86">
        <f ca="1"/>
        <v>4.2322564182859599E-3</v>
      </c>
    </row>
    <row r="255" spans="5:7" x14ac:dyDescent="0.15">
      <c r="E255" s="86">
        <f t="array" aca="1" ref="E255:G255" ca="1">MultivarXs(3, 500, A$3:C$5, A$7:A$9, B$7:B$9)</f>
        <v>1.127172471131904E-3</v>
      </c>
      <c r="F255" s="86">
        <f ca="1"/>
        <v>-9.2284145385544726E-3</v>
      </c>
      <c r="G255" s="86">
        <f ca="1"/>
        <v>7.1561669157931404E-3</v>
      </c>
    </row>
    <row r="256" spans="5:7" x14ac:dyDescent="0.15">
      <c r="E256" s="86">
        <f t="array" aca="1" ref="E256:G256" ca="1">MultivarXs(3, 500, A$3:C$5, A$7:A$9, B$7:B$9)</f>
        <v>-1.4320996185449571E-2</v>
      </c>
      <c r="F256" s="86">
        <f ca="1"/>
        <v>4.5404654840745535E-3</v>
      </c>
      <c r="G256" s="86">
        <f ca="1"/>
        <v>-5.6183080189028539E-3</v>
      </c>
    </row>
    <row r="257" spans="5:7" x14ac:dyDescent="0.15">
      <c r="E257" s="86">
        <f t="array" aca="1" ref="E257:G257" ca="1">MultivarXs(3, 500, A$3:C$5, A$7:A$9, B$7:B$9)</f>
        <v>1.2276296826204663E-2</v>
      </c>
      <c r="F257" s="86">
        <f ca="1"/>
        <v>8.5627962790738241E-3</v>
      </c>
      <c r="G257" s="86">
        <f ca="1"/>
        <v>3.2674126231458413E-3</v>
      </c>
    </row>
    <row r="258" spans="5:7" x14ac:dyDescent="0.15">
      <c r="E258" s="86">
        <f t="array" aca="1" ref="E258:G258" ca="1">MultivarXs(3, 500, A$3:C$5, A$7:A$9, B$7:B$9)</f>
        <v>1.6384770764563711E-2</v>
      </c>
      <c r="F258" s="86">
        <f ca="1"/>
        <v>-2.5189584304769294E-2</v>
      </c>
      <c r="G258" s="86">
        <f ca="1"/>
        <v>-1.1445902872827807E-2</v>
      </c>
    </row>
    <row r="259" spans="5:7" x14ac:dyDescent="0.15">
      <c r="E259" s="86">
        <f t="array" aca="1" ref="E259:G259" ca="1">MultivarXs(3, 500, A$3:C$5, A$7:A$9, B$7:B$9)</f>
        <v>-1.6740190432488013E-2</v>
      </c>
      <c r="F259" s="86">
        <f ca="1"/>
        <v>2.0182687764778353E-2</v>
      </c>
      <c r="G259" s="86">
        <f ca="1"/>
        <v>7.5158574270617028E-3</v>
      </c>
    </row>
    <row r="260" spans="5:7" x14ac:dyDescent="0.15">
      <c r="E260" s="86">
        <f t="array" aca="1" ref="E260:G260" ca="1">MultivarXs(3, 500, A$3:C$5, A$7:A$9, B$7:B$9)</f>
        <v>2.595824250113023E-2</v>
      </c>
      <c r="F260" s="86">
        <f ca="1"/>
        <v>1.1983092082440085E-2</v>
      </c>
      <c r="G260" s="86">
        <f ca="1"/>
        <v>1.166745829296564E-2</v>
      </c>
    </row>
    <row r="261" spans="5:7" x14ac:dyDescent="0.15">
      <c r="E261" s="86">
        <f t="array" aca="1" ref="E261:G261" ca="1">MultivarXs(3, 500, A$3:C$5, A$7:A$9, B$7:B$9)</f>
        <v>4.3558031642657842E-3</v>
      </c>
      <c r="F261" s="86">
        <f ca="1"/>
        <v>2.2486509375577422E-2</v>
      </c>
      <c r="G261" s="86">
        <f ca="1"/>
        <v>4.0337319787352131E-3</v>
      </c>
    </row>
    <row r="262" spans="5:7" x14ac:dyDescent="0.15">
      <c r="E262" s="86">
        <f t="array" aca="1" ref="E262:G262" ca="1">MultivarXs(3, 500, A$3:C$5, A$7:A$9, B$7:B$9)</f>
        <v>6.5233165823227702E-3</v>
      </c>
      <c r="F262" s="86">
        <f ca="1"/>
        <v>-2.0362406752655247E-2</v>
      </c>
      <c r="G262" s="86">
        <f ca="1"/>
        <v>-4.5325513766830156E-3</v>
      </c>
    </row>
    <row r="263" spans="5:7" x14ac:dyDescent="0.15">
      <c r="E263" s="86">
        <f t="array" aca="1" ref="E263:G263" ca="1">MultivarXs(3, 500, A$3:C$5, A$7:A$9, B$7:B$9)</f>
        <v>3.3867325285471435E-2</v>
      </c>
      <c r="F263" s="86">
        <f ca="1"/>
        <v>1.4822810861718789E-2</v>
      </c>
      <c r="G263" s="86">
        <f ca="1"/>
        <v>1.9405803252885229E-2</v>
      </c>
    </row>
    <row r="264" spans="5:7" x14ac:dyDescent="0.15">
      <c r="E264" s="86">
        <f t="array" aca="1" ref="E264:G264" ca="1">MultivarXs(3, 500, A$3:C$5, A$7:A$9, B$7:B$9)</f>
        <v>-5.2383582850280743E-3</v>
      </c>
      <c r="F264" s="86">
        <f ca="1"/>
        <v>-2.4997019994704897E-2</v>
      </c>
      <c r="G264" s="86">
        <f ca="1"/>
        <v>4.8614530538351403E-3</v>
      </c>
    </row>
    <row r="265" spans="5:7" x14ac:dyDescent="0.15">
      <c r="E265" s="86">
        <f t="array" aca="1" ref="E265:G265" ca="1">MultivarXs(3, 500, A$3:C$5, A$7:A$9, B$7:B$9)</f>
        <v>7.2800045853741958E-3</v>
      </c>
      <c r="F265" s="86">
        <f ca="1"/>
        <v>-1.8048499172624341E-3</v>
      </c>
      <c r="G265" s="86">
        <f ca="1"/>
        <v>1.4368233155496879E-2</v>
      </c>
    </row>
    <row r="266" spans="5:7" x14ac:dyDescent="0.15">
      <c r="E266" s="86">
        <f t="array" aca="1" ref="E266:G266" ca="1">MultivarXs(3, 500, A$3:C$5, A$7:A$9, B$7:B$9)</f>
        <v>7.9883488245797605E-4</v>
      </c>
      <c r="F266" s="86">
        <f ca="1"/>
        <v>2.0347911067190839E-2</v>
      </c>
      <c r="G266" s="86">
        <f ca="1"/>
        <v>2.4430551701114502E-2</v>
      </c>
    </row>
    <row r="267" spans="5:7" x14ac:dyDescent="0.15">
      <c r="E267" s="86">
        <f t="array" aca="1" ref="E267:G267" ca="1">MultivarXs(3, 500, A$3:C$5, A$7:A$9, B$7:B$9)</f>
        <v>-6.804494005181373E-3</v>
      </c>
      <c r="F267" s="86">
        <f ca="1"/>
        <v>-1.8344955647800028E-2</v>
      </c>
      <c r="G267" s="86">
        <f ca="1"/>
        <v>-1.1414904329409513E-3</v>
      </c>
    </row>
    <row r="268" spans="5:7" x14ac:dyDescent="0.15">
      <c r="E268" s="86">
        <f t="array" aca="1" ref="E268:G268" ca="1">MultivarXs(3, 500, A$3:C$5, A$7:A$9, B$7:B$9)</f>
        <v>-9.2657911786834107E-3</v>
      </c>
      <c r="F268" s="86">
        <f ca="1"/>
        <v>-3.8561612116166002E-2</v>
      </c>
      <c r="G268" s="86">
        <f ca="1"/>
        <v>-1.3671382354884824E-2</v>
      </c>
    </row>
    <row r="269" spans="5:7" x14ac:dyDescent="0.15">
      <c r="E269" s="86">
        <f t="array" aca="1" ref="E269:G269" ca="1">MultivarXs(3, 500, A$3:C$5, A$7:A$9, B$7:B$9)</f>
        <v>-1.5685465398003993E-3</v>
      </c>
      <c r="F269" s="86">
        <f ca="1"/>
        <v>6.9213868395146209E-3</v>
      </c>
      <c r="G269" s="86">
        <f ca="1"/>
        <v>1.5106261960054984E-2</v>
      </c>
    </row>
    <row r="270" spans="5:7" x14ac:dyDescent="0.15">
      <c r="E270" s="86">
        <f t="array" aca="1" ref="E270:G270" ca="1">MultivarXs(3, 500, A$3:C$5, A$7:A$9, B$7:B$9)</f>
        <v>-3.8979552158275779E-3</v>
      </c>
      <c r="F270" s="86">
        <f ca="1"/>
        <v>-2.383300044584866E-2</v>
      </c>
      <c r="G270" s="86">
        <f ca="1"/>
        <v>-1.1116488993705839E-2</v>
      </c>
    </row>
    <row r="271" spans="5:7" x14ac:dyDescent="0.15">
      <c r="E271" s="86">
        <f t="array" aca="1" ref="E271:G271" ca="1">MultivarXs(3, 500, A$3:C$5, A$7:A$9, B$7:B$9)</f>
        <v>1.1625210283994885E-2</v>
      </c>
      <c r="F271" s="86">
        <f ca="1"/>
        <v>-7.2364747547736547E-3</v>
      </c>
      <c r="G271" s="86">
        <f ca="1"/>
        <v>2.0477212777334115E-3</v>
      </c>
    </row>
    <row r="272" spans="5:7" x14ac:dyDescent="0.15">
      <c r="E272" s="86">
        <f t="array" aca="1" ref="E272:G272" ca="1">MultivarXs(3, 500, A$3:C$5, A$7:A$9, B$7:B$9)</f>
        <v>1.7402883370231114E-2</v>
      </c>
      <c r="F272" s="86">
        <f ca="1"/>
        <v>-5.942212367237327E-3</v>
      </c>
      <c r="G272" s="86">
        <f ca="1"/>
        <v>9.1822376203466716E-4</v>
      </c>
    </row>
    <row r="273" spans="5:7" x14ac:dyDescent="0.15">
      <c r="E273" s="86">
        <f t="array" aca="1" ref="E273:G273" ca="1">MultivarXs(3, 500, A$3:C$5, A$7:A$9, B$7:B$9)</f>
        <v>1.0397777282301688E-2</v>
      </c>
      <c r="F273" s="86">
        <f ca="1"/>
        <v>-1.0784207202407251E-2</v>
      </c>
      <c r="G273" s="86">
        <f ca="1"/>
        <v>-7.8179395825581782E-3</v>
      </c>
    </row>
    <row r="274" spans="5:7" x14ac:dyDescent="0.15">
      <c r="E274" s="86">
        <f t="array" aca="1" ref="E274:G274" ca="1">MultivarXs(3, 500, A$3:C$5, A$7:A$9, B$7:B$9)</f>
        <v>3.0353957523579964E-3</v>
      </c>
      <c r="F274" s="86">
        <f ca="1"/>
        <v>3.9480275681484274E-2</v>
      </c>
      <c r="G274" s="86">
        <f ca="1"/>
        <v>1.9956524795813804E-3</v>
      </c>
    </row>
    <row r="275" spans="5:7" x14ac:dyDescent="0.15">
      <c r="E275" s="86">
        <f t="array" aca="1" ref="E275:G275" ca="1">MultivarXs(3, 500, A$3:C$5, A$7:A$9, B$7:B$9)</f>
        <v>-8.3361730222187539E-4</v>
      </c>
      <c r="F275" s="86">
        <f ca="1"/>
        <v>1.5863415613007865E-2</v>
      </c>
      <c r="G275" s="86">
        <f ca="1"/>
        <v>7.2253819239868483E-3</v>
      </c>
    </row>
    <row r="276" spans="5:7" x14ac:dyDescent="0.15">
      <c r="E276" s="86">
        <f t="array" aca="1" ref="E276:G276" ca="1">MultivarXs(3, 500, A$3:C$5, A$7:A$9, B$7:B$9)</f>
        <v>-1.4329784728193591E-3</v>
      </c>
      <c r="F276" s="86">
        <f ca="1"/>
        <v>2.3752788785663128E-3</v>
      </c>
      <c r="G276" s="86">
        <f ca="1"/>
        <v>-5.4604089446026599E-3</v>
      </c>
    </row>
    <row r="277" spans="5:7" x14ac:dyDescent="0.15">
      <c r="E277" s="86">
        <f t="array" aca="1" ref="E277:G277" ca="1">MultivarXs(3, 500, A$3:C$5, A$7:A$9, B$7:B$9)</f>
        <v>7.7625579520811307E-3</v>
      </c>
      <c r="F277" s="86">
        <f ca="1"/>
        <v>-6.5232251652959546E-3</v>
      </c>
      <c r="G277" s="86">
        <f ca="1"/>
        <v>-5.2965849508914637E-3</v>
      </c>
    </row>
    <row r="278" spans="5:7" x14ac:dyDescent="0.15">
      <c r="E278" s="86">
        <f t="array" aca="1" ref="E278:G278" ca="1">MultivarXs(3, 500, A$3:C$5, A$7:A$9, B$7:B$9)</f>
        <v>-1.080288054451478E-2</v>
      </c>
      <c r="F278" s="86">
        <f ca="1"/>
        <v>-2.226396825781754E-2</v>
      </c>
      <c r="G278" s="86">
        <f ca="1"/>
        <v>-6.4850440404003338E-3</v>
      </c>
    </row>
    <row r="279" spans="5:7" x14ac:dyDescent="0.15">
      <c r="E279" s="86">
        <f t="array" aca="1" ref="E279:G279" ca="1">MultivarXs(3, 500, A$3:C$5, A$7:A$9, B$7:B$9)</f>
        <v>-4.2715855496663424E-3</v>
      </c>
      <c r="F279" s="86">
        <f ca="1"/>
        <v>1.4065852134886701E-2</v>
      </c>
      <c r="G279" s="86">
        <f ca="1"/>
        <v>1.3130994746130206E-2</v>
      </c>
    </row>
    <row r="280" spans="5:7" x14ac:dyDescent="0.15">
      <c r="E280" s="86">
        <f t="array" aca="1" ref="E280:G280" ca="1">MultivarXs(3, 500, A$3:C$5, A$7:A$9, B$7:B$9)</f>
        <v>-4.8349343792872717E-3</v>
      </c>
      <c r="F280" s="86">
        <f ca="1"/>
        <v>7.8330901979235291E-3</v>
      </c>
      <c r="G280" s="86">
        <f ca="1"/>
        <v>1.6759662436938176E-3</v>
      </c>
    </row>
    <row r="281" spans="5:7" x14ac:dyDescent="0.15">
      <c r="E281" s="86">
        <f t="array" aca="1" ref="E281:G281" ca="1">MultivarXs(3, 500, A$3:C$5, A$7:A$9, B$7:B$9)</f>
        <v>-4.3802111907666943E-3</v>
      </c>
      <c r="F281" s="86">
        <f ca="1"/>
        <v>-6.7271724892581757E-3</v>
      </c>
      <c r="G281" s="86">
        <f ca="1"/>
        <v>1.815213247432925E-3</v>
      </c>
    </row>
    <row r="282" spans="5:7" x14ac:dyDescent="0.15">
      <c r="E282" s="86">
        <f t="array" aca="1" ref="E282:G282" ca="1">MultivarXs(3, 500, A$3:C$5, A$7:A$9, B$7:B$9)</f>
        <v>-1.4592373151401905E-2</v>
      </c>
      <c r="F282" s="86">
        <f ca="1"/>
        <v>-5.5633601765972531E-3</v>
      </c>
      <c r="G282" s="86">
        <f ca="1"/>
        <v>-7.7712027270421683E-3</v>
      </c>
    </row>
    <row r="283" spans="5:7" x14ac:dyDescent="0.15">
      <c r="E283" s="86">
        <f t="array" aca="1" ref="E283:G283" ca="1">MultivarXs(3, 500, A$3:C$5, A$7:A$9, B$7:B$9)</f>
        <v>1.5743137739984469E-3</v>
      </c>
      <c r="F283" s="86">
        <f ca="1"/>
        <v>-2.0926806509509372E-3</v>
      </c>
      <c r="G283" s="86">
        <f ca="1"/>
        <v>4.4371914764499178E-3</v>
      </c>
    </row>
    <row r="284" spans="5:7" x14ac:dyDescent="0.15">
      <c r="E284" s="86">
        <f t="array" aca="1" ref="E284:G284" ca="1">MultivarXs(3, 500, A$3:C$5, A$7:A$9, B$7:B$9)</f>
        <v>5.038711336927652E-3</v>
      </c>
      <c r="F284" s="86">
        <f ca="1"/>
        <v>-1.0617932670774984E-2</v>
      </c>
      <c r="G284" s="86">
        <f ca="1"/>
        <v>1.9570706824137239E-5</v>
      </c>
    </row>
    <row r="285" spans="5:7" x14ac:dyDescent="0.15">
      <c r="E285" s="86">
        <f t="array" aca="1" ref="E285:G285" ca="1">MultivarXs(3, 500, A$3:C$5, A$7:A$9, B$7:B$9)</f>
        <v>-1.0430756919804458E-2</v>
      </c>
      <c r="F285" s="86">
        <f ca="1"/>
        <v>-1.186280379244929E-2</v>
      </c>
      <c r="G285" s="86">
        <f ca="1"/>
        <v>-9.3570210751702972E-3</v>
      </c>
    </row>
    <row r="286" spans="5:7" x14ac:dyDescent="0.15">
      <c r="E286" s="86">
        <f t="array" aca="1" ref="E286:G286" ca="1">MultivarXs(3, 500, A$3:C$5, A$7:A$9, B$7:B$9)</f>
        <v>6.825754634631611E-3</v>
      </c>
      <c r="F286" s="86">
        <f ca="1"/>
        <v>-1.1646042633914822E-2</v>
      </c>
      <c r="G286" s="86">
        <f ca="1"/>
        <v>-6.7439646491504566E-4</v>
      </c>
    </row>
    <row r="287" spans="5:7" x14ac:dyDescent="0.15">
      <c r="E287" s="86">
        <f t="array" aca="1" ref="E287:G287" ca="1">MultivarXs(3, 500, A$3:C$5, A$7:A$9, B$7:B$9)</f>
        <v>2.3637701884305636E-2</v>
      </c>
      <c r="F287" s="86">
        <f ca="1"/>
        <v>3.7855721308666448E-2</v>
      </c>
      <c r="G287" s="86">
        <f ca="1"/>
        <v>1.3509019048368332E-2</v>
      </c>
    </row>
    <row r="288" spans="5:7" x14ac:dyDescent="0.15">
      <c r="E288" s="86">
        <f t="array" aca="1" ref="E288:G288" ca="1">MultivarXs(3, 500, A$3:C$5, A$7:A$9, B$7:B$9)</f>
        <v>3.0652219164821813E-3</v>
      </c>
      <c r="F288" s="86">
        <f ca="1"/>
        <v>5.8470474876022201E-3</v>
      </c>
      <c r="G288" s="86">
        <f ca="1"/>
        <v>1.1106842560216022E-2</v>
      </c>
    </row>
    <row r="289" spans="5:7" x14ac:dyDescent="0.15">
      <c r="E289" s="86">
        <f t="array" aca="1" ref="E289:G289" ca="1">MultivarXs(3, 500, A$3:C$5, A$7:A$9, B$7:B$9)</f>
        <v>8.6119601143978611E-3</v>
      </c>
      <c r="F289" s="86">
        <f ca="1"/>
        <v>-1.95199968981466E-2</v>
      </c>
      <c r="G289" s="86">
        <f ca="1"/>
        <v>3.6217206741669537E-3</v>
      </c>
    </row>
    <row r="290" spans="5:7" x14ac:dyDescent="0.15">
      <c r="E290" s="86">
        <f t="array" aca="1" ref="E290:G290" ca="1">MultivarXs(3, 500, A$3:C$5, A$7:A$9, B$7:B$9)</f>
        <v>1.3467310635576625E-3</v>
      </c>
      <c r="F290" s="86">
        <f ca="1"/>
        <v>2.1534124198920847E-2</v>
      </c>
      <c r="G290" s="86">
        <f ca="1"/>
        <v>5.324050736413434E-3</v>
      </c>
    </row>
    <row r="291" spans="5:7" x14ac:dyDescent="0.15">
      <c r="E291" s="86">
        <f t="array" aca="1" ref="E291:G291" ca="1">MultivarXs(3, 500, A$3:C$5, A$7:A$9, B$7:B$9)</f>
        <v>2.6320318341808362E-2</v>
      </c>
      <c r="F291" s="86">
        <f ca="1"/>
        <v>1.4204821750006009E-3</v>
      </c>
      <c r="G291" s="86">
        <f ca="1"/>
        <v>2.5039376424263555E-4</v>
      </c>
    </row>
    <row r="292" spans="5:7" x14ac:dyDescent="0.15">
      <c r="E292" s="86">
        <f t="array" aca="1" ref="E292:G292" ca="1">MultivarXs(3, 500, A$3:C$5, A$7:A$9, B$7:B$9)</f>
        <v>1.4649716947085325E-2</v>
      </c>
      <c r="F292" s="86">
        <f ca="1"/>
        <v>-9.0389035570157886E-3</v>
      </c>
      <c r="G292" s="86">
        <f ca="1"/>
        <v>-2.4887613284793933E-3</v>
      </c>
    </row>
    <row r="293" spans="5:7" x14ac:dyDescent="0.15">
      <c r="E293" s="86">
        <f t="array" aca="1" ref="E293:G293" ca="1">MultivarXs(3, 500, A$3:C$5, A$7:A$9, B$7:B$9)</f>
        <v>-1.7849649220316E-2</v>
      </c>
      <c r="F293" s="86">
        <f ca="1"/>
        <v>-1.7751383442170327E-2</v>
      </c>
      <c r="G293" s="86">
        <f ca="1"/>
        <v>-1.0569238694099788E-2</v>
      </c>
    </row>
    <row r="294" spans="5:7" x14ac:dyDescent="0.15">
      <c r="E294" s="86">
        <f t="array" aca="1" ref="E294:G294" ca="1">MultivarXs(3, 500, A$3:C$5, A$7:A$9, B$7:B$9)</f>
        <v>-1.9234202466038824E-2</v>
      </c>
      <c r="F294" s="86">
        <f ca="1"/>
        <v>5.6272414030315568E-3</v>
      </c>
      <c r="G294" s="86">
        <f ca="1"/>
        <v>-1.2783659931480552E-3</v>
      </c>
    </row>
    <row r="295" spans="5:7" x14ac:dyDescent="0.15">
      <c r="E295" s="86">
        <f t="array" aca="1" ref="E295:G295" ca="1">MultivarXs(3, 500, A$3:C$5, A$7:A$9, B$7:B$9)</f>
        <v>-2.9179087554974659E-2</v>
      </c>
      <c r="F295" s="86">
        <f ca="1"/>
        <v>-1.3495267273304296E-2</v>
      </c>
      <c r="G295" s="86">
        <f ca="1"/>
        <v>-1.5868820291391177E-2</v>
      </c>
    </row>
    <row r="296" spans="5:7" x14ac:dyDescent="0.15">
      <c r="E296" s="86">
        <f t="array" aca="1" ref="E296:G296" ca="1">MultivarXs(3, 500, A$3:C$5, A$7:A$9, B$7:B$9)</f>
        <v>-6.1808371969531107E-3</v>
      </c>
      <c r="F296" s="86">
        <f ca="1"/>
        <v>-1.7594182691256125E-2</v>
      </c>
      <c r="G296" s="86">
        <f ca="1"/>
        <v>-1.0826137467672968E-2</v>
      </c>
    </row>
    <row r="297" spans="5:7" x14ac:dyDescent="0.15">
      <c r="E297" s="86">
        <f t="array" aca="1" ref="E297:G297" ca="1">MultivarXs(3, 500, A$3:C$5, A$7:A$9, B$7:B$9)</f>
        <v>1.8054042147293076E-2</v>
      </c>
      <c r="F297" s="86">
        <f ca="1"/>
        <v>9.1848269204495119E-3</v>
      </c>
      <c r="G297" s="86">
        <f ca="1"/>
        <v>1.5915080429284953E-2</v>
      </c>
    </row>
    <row r="298" spans="5:7" x14ac:dyDescent="0.15">
      <c r="E298" s="86">
        <f t="array" aca="1" ref="E298:G298" ca="1">MultivarXs(3, 500, A$3:C$5, A$7:A$9, B$7:B$9)</f>
        <v>-2.6419462940990818E-2</v>
      </c>
      <c r="F298" s="86">
        <f ca="1"/>
        <v>1.4120272153623619E-2</v>
      </c>
      <c r="G298" s="86">
        <f ca="1"/>
        <v>1.2494446952570794E-5</v>
      </c>
    </row>
    <row r="299" spans="5:7" x14ac:dyDescent="0.15">
      <c r="E299" s="86">
        <f t="array" aca="1" ref="E299:G299" ca="1">MultivarXs(3, 500, A$3:C$5, A$7:A$9, B$7:B$9)</f>
        <v>1.4954286443415612E-2</v>
      </c>
      <c r="F299" s="86">
        <f ca="1"/>
        <v>2.4485450783458845E-2</v>
      </c>
      <c r="G299" s="86">
        <f ca="1"/>
        <v>1.6820780943929622E-2</v>
      </c>
    </row>
    <row r="300" spans="5:7" x14ac:dyDescent="0.15">
      <c r="E300" s="86">
        <f t="array" aca="1" ref="E300:G300" ca="1">MultivarXs(3, 500, A$3:C$5, A$7:A$9, B$7:B$9)</f>
        <v>-1.6781766472019153E-2</v>
      </c>
      <c r="F300" s="86">
        <f ca="1"/>
        <v>6.0758330926741957E-3</v>
      </c>
      <c r="G300" s="86">
        <f ca="1"/>
        <v>1.5192551481278628E-2</v>
      </c>
    </row>
    <row r="301" spans="5:7" x14ac:dyDescent="0.15">
      <c r="E301" s="86">
        <f t="array" aca="1" ref="E301:G301" ca="1">MultivarXs(3, 500, A$3:C$5, A$7:A$9, B$7:B$9)</f>
        <v>-4.8662384472677872E-3</v>
      </c>
      <c r="F301" s="86">
        <f ca="1"/>
        <v>-1.3165916194377588E-2</v>
      </c>
      <c r="G301" s="86">
        <f ca="1"/>
        <v>-2.7570794711591481E-4</v>
      </c>
    </row>
    <row r="302" spans="5:7" x14ac:dyDescent="0.15">
      <c r="E302" s="86">
        <f t="array" aca="1" ref="E302:G302" ca="1">MultivarXs(3, 500, A$3:C$5, A$7:A$9, B$7:B$9)</f>
        <v>1.1542850993711924E-2</v>
      </c>
      <c r="F302" s="86">
        <f ca="1"/>
        <v>8.8195409382681219E-3</v>
      </c>
      <c r="G302" s="86">
        <f ca="1"/>
        <v>6.6307699665881306E-3</v>
      </c>
    </row>
    <row r="303" spans="5:7" x14ac:dyDescent="0.15">
      <c r="E303" s="86">
        <f t="array" aca="1" ref="E303:G303" ca="1">MultivarXs(3, 500, A$3:C$5, A$7:A$9, B$7:B$9)</f>
        <v>-1.8568402216693916E-3</v>
      </c>
      <c r="F303" s="86">
        <f ca="1"/>
        <v>-2.9007501370871226E-3</v>
      </c>
      <c r="G303" s="86">
        <f ca="1"/>
        <v>9.2336991713413263E-3</v>
      </c>
    </row>
    <row r="304" spans="5:7" x14ac:dyDescent="0.15">
      <c r="E304" s="86">
        <f t="array" aca="1" ref="E304:G304" ca="1">MultivarXs(3, 500, A$3:C$5, A$7:A$9, B$7:B$9)</f>
        <v>-4.3176334369432919E-2</v>
      </c>
      <c r="F304" s="86">
        <f ca="1"/>
        <v>-1.4100019248047144E-2</v>
      </c>
      <c r="G304" s="86">
        <f ca="1"/>
        <v>-5.4864701672958285E-3</v>
      </c>
    </row>
    <row r="305" spans="5:7" x14ac:dyDescent="0.15">
      <c r="E305" s="86">
        <f t="array" aca="1" ref="E305:G305" ca="1">MultivarXs(3, 500, A$3:C$5, A$7:A$9, B$7:B$9)</f>
        <v>-1.1107656770149217E-2</v>
      </c>
      <c r="F305" s="86">
        <f ca="1"/>
        <v>-1.696103141885718E-2</v>
      </c>
      <c r="G305" s="86">
        <f ca="1"/>
        <v>-5.9434545767805443E-3</v>
      </c>
    </row>
    <row r="306" spans="5:7" x14ac:dyDescent="0.15">
      <c r="E306" s="86">
        <f t="array" aca="1" ref="E306:G306" ca="1">MultivarXs(3, 500, A$3:C$5, A$7:A$9, B$7:B$9)</f>
        <v>2.7513704081085857E-2</v>
      </c>
      <c r="F306" s="86">
        <f ca="1"/>
        <v>9.0561815615841888E-3</v>
      </c>
      <c r="G306" s="86">
        <f ca="1"/>
        <v>3.2573215788667354E-3</v>
      </c>
    </row>
    <row r="307" spans="5:7" x14ac:dyDescent="0.15">
      <c r="E307" s="86">
        <f t="array" aca="1" ref="E307:G307" ca="1">MultivarXs(3, 500, A$3:C$5, A$7:A$9, B$7:B$9)</f>
        <v>-4.7178004450675491E-3</v>
      </c>
      <c r="F307" s="86">
        <f ca="1"/>
        <v>-1.0984155322344823E-2</v>
      </c>
      <c r="G307" s="86">
        <f ca="1"/>
        <v>-3.05556146599722E-3</v>
      </c>
    </row>
    <row r="308" spans="5:7" x14ac:dyDescent="0.15">
      <c r="E308" s="86">
        <f t="array" aca="1" ref="E308:G308" ca="1">MultivarXs(3, 500, A$3:C$5, A$7:A$9, B$7:B$9)</f>
        <v>2.5148633124898769E-2</v>
      </c>
      <c r="F308" s="86">
        <f ca="1"/>
        <v>1.1521035673925919E-2</v>
      </c>
      <c r="G308" s="86">
        <f ca="1"/>
        <v>1.0211595659431003E-3</v>
      </c>
    </row>
    <row r="309" spans="5:7" x14ac:dyDescent="0.15">
      <c r="E309" s="86">
        <f t="array" aca="1" ref="E309:G309" ca="1">MultivarXs(3, 500, A$3:C$5, A$7:A$9, B$7:B$9)</f>
        <v>-1.2033811244470874E-2</v>
      </c>
      <c r="F309" s="86">
        <f ca="1"/>
        <v>-2.1751276480779954E-2</v>
      </c>
      <c r="G309" s="86">
        <f ca="1"/>
        <v>-5.2051686030881632E-3</v>
      </c>
    </row>
    <row r="310" spans="5:7" x14ac:dyDescent="0.15">
      <c r="E310" s="86">
        <f t="array" aca="1" ref="E310:G310" ca="1">MultivarXs(3, 500, A$3:C$5, A$7:A$9, B$7:B$9)</f>
        <v>2.8587954442804958E-2</v>
      </c>
      <c r="F310" s="86">
        <f ca="1"/>
        <v>2.0256424217314023E-2</v>
      </c>
      <c r="G310" s="86">
        <f ca="1"/>
        <v>7.0324651732709001E-3</v>
      </c>
    </row>
    <row r="311" spans="5:7" x14ac:dyDescent="0.15">
      <c r="E311" s="86">
        <f t="array" aca="1" ref="E311:G311" ca="1">MultivarXs(3, 500, A$3:C$5, A$7:A$9, B$7:B$9)</f>
        <v>-1.0161933058023461E-2</v>
      </c>
      <c r="F311" s="86">
        <f ca="1"/>
        <v>7.4085449600056743E-4</v>
      </c>
      <c r="G311" s="86">
        <f ca="1"/>
        <v>2.5108061554090736E-3</v>
      </c>
    </row>
    <row r="312" spans="5:7" x14ac:dyDescent="0.15">
      <c r="E312" s="86">
        <f t="array" aca="1" ref="E312:G312" ca="1">MultivarXs(3, 500, A$3:C$5, A$7:A$9, B$7:B$9)</f>
        <v>1.8433368984224562E-2</v>
      </c>
      <c r="F312" s="86">
        <f ca="1"/>
        <v>-1.3519467157526291E-2</v>
      </c>
      <c r="G312" s="86">
        <f ca="1"/>
        <v>-9.2065514791065117E-3</v>
      </c>
    </row>
    <row r="313" spans="5:7" x14ac:dyDescent="0.15">
      <c r="E313" s="86">
        <f t="array" aca="1" ref="E313:G313" ca="1">MultivarXs(3, 500, A$3:C$5, A$7:A$9, B$7:B$9)</f>
        <v>2.0406866356577541E-2</v>
      </c>
      <c r="F313" s="86">
        <f ca="1"/>
        <v>-8.2129551156588966E-3</v>
      </c>
      <c r="G313" s="86">
        <f ca="1"/>
        <v>8.955910058143033E-4</v>
      </c>
    </row>
    <row r="314" spans="5:7" x14ac:dyDescent="0.15">
      <c r="E314" s="86">
        <f t="array" aca="1" ref="E314:G314" ca="1">MultivarXs(3, 500, A$3:C$5, A$7:A$9, B$7:B$9)</f>
        <v>-2.1483662180866683E-2</v>
      </c>
      <c r="F314" s="86">
        <f ca="1"/>
        <v>-1.3636294549796771E-2</v>
      </c>
      <c r="G314" s="86">
        <f ca="1"/>
        <v>-1.6646561635178789E-2</v>
      </c>
    </row>
    <row r="315" spans="5:7" x14ac:dyDescent="0.15">
      <c r="E315" s="86">
        <f t="array" aca="1" ref="E315:G315" ca="1">MultivarXs(3, 500, A$3:C$5, A$7:A$9, B$7:B$9)</f>
        <v>2.2169053330383413E-2</v>
      </c>
      <c r="F315" s="86">
        <f ca="1"/>
        <v>1.8467742448127045E-2</v>
      </c>
      <c r="G315" s="86">
        <f ca="1"/>
        <v>-5.5352447725857522E-3</v>
      </c>
    </row>
    <row r="316" spans="5:7" x14ac:dyDescent="0.15">
      <c r="E316" s="86">
        <f t="array" aca="1" ref="E316:G316" ca="1">MultivarXs(3, 500, A$3:C$5, A$7:A$9, B$7:B$9)</f>
        <v>-1.4139238189202499E-2</v>
      </c>
      <c r="F316" s="86">
        <f ca="1"/>
        <v>-1.6286300716023688E-2</v>
      </c>
      <c r="G316" s="86">
        <f ca="1"/>
        <v>1.1540654074744324E-3</v>
      </c>
    </row>
    <row r="317" spans="5:7" x14ac:dyDescent="0.15">
      <c r="E317" s="86">
        <f t="array" aca="1" ref="E317:G317" ca="1">MultivarXs(3, 500, A$3:C$5, A$7:A$9, B$7:B$9)</f>
        <v>1.3875265850417295E-2</v>
      </c>
      <c r="F317" s="86">
        <f ca="1"/>
        <v>7.3755751299797558E-3</v>
      </c>
      <c r="G317" s="86">
        <f ca="1"/>
        <v>1.9318739789105973E-3</v>
      </c>
    </row>
    <row r="318" spans="5:7" x14ac:dyDescent="0.15">
      <c r="E318" s="86">
        <f t="array" aca="1" ref="E318:G318" ca="1">MultivarXs(3, 500, A$3:C$5, A$7:A$9, B$7:B$9)</f>
        <v>1.8216260160138217E-2</v>
      </c>
      <c r="F318" s="86">
        <f ca="1"/>
        <v>2.8995890002653485E-2</v>
      </c>
      <c r="G318" s="86">
        <f ca="1"/>
        <v>2.1507884146265005E-3</v>
      </c>
    </row>
    <row r="319" spans="5:7" x14ac:dyDescent="0.15">
      <c r="E319" s="86">
        <f t="array" aca="1" ref="E319:G319" ca="1">MultivarXs(3, 500, A$3:C$5, A$7:A$9, B$7:B$9)</f>
        <v>-1.9828296205694387E-2</v>
      </c>
      <c r="F319" s="86">
        <f ca="1"/>
        <v>-2.747420369574882E-3</v>
      </c>
      <c r="G319" s="86">
        <f ca="1"/>
        <v>-1.0225063809606114E-3</v>
      </c>
    </row>
    <row r="320" spans="5:7" x14ac:dyDescent="0.15">
      <c r="E320" s="86">
        <f t="array" aca="1" ref="E320:G320" ca="1">MultivarXs(3, 500, A$3:C$5, A$7:A$9, B$7:B$9)</f>
        <v>1.6921213428197239E-2</v>
      </c>
      <c r="F320" s="86">
        <f ca="1"/>
        <v>1.9533196198633284E-3</v>
      </c>
      <c r="G320" s="86">
        <f ca="1"/>
        <v>-2.2810325031209296E-3</v>
      </c>
    </row>
    <row r="321" spans="5:7" x14ac:dyDescent="0.15">
      <c r="E321" s="86">
        <f t="array" aca="1" ref="E321:G321" ca="1">MultivarXs(3, 500, A$3:C$5, A$7:A$9, B$7:B$9)</f>
        <v>4.3714236712895209E-4</v>
      </c>
      <c r="F321" s="86">
        <f ca="1"/>
        <v>3.2044286116447874E-3</v>
      </c>
      <c r="G321" s="86">
        <f ca="1"/>
        <v>-2.9740804173893068E-3</v>
      </c>
    </row>
    <row r="322" spans="5:7" x14ac:dyDescent="0.15">
      <c r="E322" s="86">
        <f t="array" aca="1" ref="E322:G322" ca="1">MultivarXs(3, 500, A$3:C$5, A$7:A$9, B$7:B$9)</f>
        <v>1.4561920646397402E-3</v>
      </c>
      <c r="F322" s="86">
        <f ca="1"/>
        <v>-8.6781709065999781E-3</v>
      </c>
      <c r="G322" s="86">
        <f ca="1"/>
        <v>-9.3815878157098419E-3</v>
      </c>
    </row>
    <row r="323" spans="5:7" x14ac:dyDescent="0.15">
      <c r="E323" s="86">
        <f t="array" aca="1" ref="E323:G323" ca="1">MultivarXs(3, 500, A$3:C$5, A$7:A$9, B$7:B$9)</f>
        <v>1.0727980728450734E-2</v>
      </c>
      <c r="F323" s="86">
        <f ca="1"/>
        <v>-1.8284818387804255E-2</v>
      </c>
      <c r="G323" s="86">
        <f ca="1"/>
        <v>-6.22037757885087E-3</v>
      </c>
    </row>
    <row r="324" spans="5:7" x14ac:dyDescent="0.15">
      <c r="E324" s="86">
        <f t="array" aca="1" ref="E324:G324" ca="1">MultivarXs(3, 500, A$3:C$5, A$7:A$9, B$7:B$9)</f>
        <v>-6.0143112221708785E-3</v>
      </c>
      <c r="F324" s="86">
        <f ca="1"/>
        <v>2.6063070955100427E-2</v>
      </c>
      <c r="G324" s="86">
        <f ca="1"/>
        <v>1.9386575601348068E-2</v>
      </c>
    </row>
    <row r="325" spans="5:7" x14ac:dyDescent="0.15">
      <c r="E325" s="86">
        <f t="array" aca="1" ref="E325:G325" ca="1">MultivarXs(3, 500, A$3:C$5, A$7:A$9, B$7:B$9)</f>
        <v>2.4367226128026841E-3</v>
      </c>
      <c r="F325" s="86">
        <f ca="1"/>
        <v>6.4983434192299756E-3</v>
      </c>
      <c r="G325" s="86">
        <f ca="1"/>
        <v>-1.1995405637004208E-3</v>
      </c>
    </row>
    <row r="326" spans="5:7" x14ac:dyDescent="0.15">
      <c r="E326" s="86">
        <f t="array" aca="1" ref="E326:G326" ca="1">MultivarXs(3, 500, A$3:C$5, A$7:A$9, B$7:B$9)</f>
        <v>1.0375789748176795E-2</v>
      </c>
      <c r="F326" s="86">
        <f ca="1"/>
        <v>1.182866334393623E-2</v>
      </c>
      <c r="G326" s="86">
        <f ca="1"/>
        <v>-2.6791174551884438E-3</v>
      </c>
    </row>
    <row r="327" spans="5:7" x14ac:dyDescent="0.15">
      <c r="E327" s="86">
        <f t="array" aca="1" ref="E327:G327" ca="1">MultivarXs(3, 500, A$3:C$5, A$7:A$9, B$7:B$9)</f>
        <v>1.1168912278705272E-2</v>
      </c>
      <c r="F327" s="86">
        <f ca="1"/>
        <v>1.5365646864655169E-2</v>
      </c>
      <c r="G327" s="86">
        <f ca="1"/>
        <v>3.9880806477940673E-3</v>
      </c>
    </row>
    <row r="328" spans="5:7" x14ac:dyDescent="0.15">
      <c r="E328" s="86">
        <f t="array" aca="1" ref="E328:G328" ca="1">MultivarXs(3, 500, A$3:C$5, A$7:A$9, B$7:B$9)</f>
        <v>8.0664282278704695E-3</v>
      </c>
      <c r="F328" s="86">
        <f ca="1"/>
        <v>-1.0107073966320393E-2</v>
      </c>
      <c r="G328" s="86">
        <f ca="1"/>
        <v>-5.378853615812181E-3</v>
      </c>
    </row>
    <row r="329" spans="5:7" x14ac:dyDescent="0.15">
      <c r="E329" s="86">
        <f t="array" aca="1" ref="E329:G329" ca="1">MultivarXs(3, 500, A$3:C$5, A$7:A$9, B$7:B$9)</f>
        <v>2.8571465564829371E-3</v>
      </c>
      <c r="F329" s="86">
        <f ca="1"/>
        <v>-7.981607655352857E-3</v>
      </c>
      <c r="G329" s="86">
        <f ca="1"/>
        <v>-4.6550833624358677E-3</v>
      </c>
    </row>
    <row r="330" spans="5:7" x14ac:dyDescent="0.15">
      <c r="E330" s="86">
        <f t="array" aca="1" ref="E330:G330" ca="1">MultivarXs(3, 500, A$3:C$5, A$7:A$9, B$7:B$9)</f>
        <v>-5.8754020635919261E-3</v>
      </c>
      <c r="F330" s="86">
        <f ca="1"/>
        <v>-3.226598249685627E-2</v>
      </c>
      <c r="G330" s="86">
        <f ca="1"/>
        <v>2.5898838065766885E-3</v>
      </c>
    </row>
    <row r="331" spans="5:7" x14ac:dyDescent="0.15">
      <c r="E331" s="86">
        <f t="array" aca="1" ref="E331:G331" ca="1">MultivarXs(3, 500, A$3:C$5, A$7:A$9, B$7:B$9)</f>
        <v>2.6402222971846981E-2</v>
      </c>
      <c r="F331" s="86">
        <f ca="1"/>
        <v>1.5242671123374239E-2</v>
      </c>
      <c r="G331" s="86">
        <f ca="1"/>
        <v>4.0529156381252625E-3</v>
      </c>
    </row>
    <row r="332" spans="5:7" x14ac:dyDescent="0.15">
      <c r="E332" s="86">
        <f t="array" aca="1" ref="E332:G332" ca="1">MultivarXs(3, 500, A$3:C$5, A$7:A$9, B$7:B$9)</f>
        <v>8.7066779394465322E-3</v>
      </c>
      <c r="F332" s="86">
        <f ca="1"/>
        <v>8.2980682964098433E-3</v>
      </c>
      <c r="G332" s="86">
        <f ca="1"/>
        <v>-4.0075353825153818E-3</v>
      </c>
    </row>
    <row r="333" spans="5:7" x14ac:dyDescent="0.15">
      <c r="E333" s="86">
        <f t="array" aca="1" ref="E333:G333" ca="1">MultivarXs(3, 500, A$3:C$5, A$7:A$9, B$7:B$9)</f>
        <v>8.3116304483975851E-3</v>
      </c>
      <c r="F333" s="86">
        <f ca="1"/>
        <v>-4.6097526229428934E-3</v>
      </c>
      <c r="G333" s="86">
        <f ca="1"/>
        <v>4.8464206008565144E-3</v>
      </c>
    </row>
    <row r="334" spans="5:7" x14ac:dyDescent="0.15">
      <c r="E334" s="86">
        <f t="array" aca="1" ref="E334:G334" ca="1">MultivarXs(3, 500, A$3:C$5, A$7:A$9, B$7:B$9)</f>
        <v>-5.8248797948708001E-3</v>
      </c>
      <c r="F334" s="86">
        <f ca="1"/>
        <v>6.4090590878499083E-4</v>
      </c>
      <c r="G334" s="86">
        <f ca="1"/>
        <v>-8.6073994707039456E-4</v>
      </c>
    </row>
    <row r="335" spans="5:7" x14ac:dyDescent="0.15">
      <c r="E335" s="86">
        <f t="array" aca="1" ref="E335:G335" ca="1">MultivarXs(3, 500, A$3:C$5, A$7:A$9, B$7:B$9)</f>
        <v>1.0550228722391532E-2</v>
      </c>
      <c r="F335" s="86">
        <f ca="1"/>
        <v>2.4349405781024031E-2</v>
      </c>
      <c r="G335" s="86">
        <f ca="1"/>
        <v>-5.6834145609894993E-4</v>
      </c>
    </row>
    <row r="336" spans="5:7" x14ac:dyDescent="0.15">
      <c r="E336" s="86">
        <f t="array" aca="1" ref="E336:G336" ca="1">MultivarXs(3, 500, A$3:C$5, A$7:A$9, B$7:B$9)</f>
        <v>2.8668837721925907E-2</v>
      </c>
      <c r="F336" s="86">
        <f ca="1"/>
        <v>1.5373463877361037E-2</v>
      </c>
      <c r="G336" s="86">
        <f ca="1"/>
        <v>4.2502528663099616E-3</v>
      </c>
    </row>
    <row r="337" spans="5:7" x14ac:dyDescent="0.15">
      <c r="E337" s="86">
        <f t="array" aca="1" ref="E337:G337" ca="1">MultivarXs(3, 500, A$3:C$5, A$7:A$9, B$7:B$9)</f>
        <v>-9.1755507840167658E-3</v>
      </c>
      <c r="F337" s="86">
        <f ca="1"/>
        <v>-4.663036997528563E-3</v>
      </c>
      <c r="G337" s="86">
        <f ca="1"/>
        <v>3.2631643416122476E-4</v>
      </c>
    </row>
    <row r="338" spans="5:7" x14ac:dyDescent="0.15">
      <c r="E338" s="86">
        <f t="array" aca="1" ref="E338:G338" ca="1">MultivarXs(3, 500, A$3:C$5, A$7:A$9, B$7:B$9)</f>
        <v>-9.7814375609946882E-5</v>
      </c>
      <c r="F338" s="86">
        <f ca="1"/>
        <v>-6.8767842771714554E-3</v>
      </c>
      <c r="G338" s="86">
        <f ca="1"/>
        <v>-5.2686781269406669E-3</v>
      </c>
    </row>
    <row r="339" spans="5:7" x14ac:dyDescent="0.15">
      <c r="E339" s="86">
        <f t="array" aca="1" ref="E339:G339" ca="1">MultivarXs(3, 500, A$3:C$5, A$7:A$9, B$7:B$9)</f>
        <v>-2.5159024669788199E-2</v>
      </c>
      <c r="F339" s="86">
        <f ca="1"/>
        <v>-1.0485457912770554E-2</v>
      </c>
      <c r="G339" s="86">
        <f ca="1"/>
        <v>-6.3468161447487502E-3</v>
      </c>
    </row>
    <row r="340" spans="5:7" x14ac:dyDescent="0.15">
      <c r="E340" s="86">
        <f t="array" aca="1" ref="E340:G340" ca="1">MultivarXs(3, 500, A$3:C$5, A$7:A$9, B$7:B$9)</f>
        <v>-1.9236114993273698E-2</v>
      </c>
      <c r="F340" s="86">
        <f ca="1"/>
        <v>-2.2571959150734521E-2</v>
      </c>
      <c r="G340" s="86">
        <f ca="1"/>
        <v>1.4933068945110792E-4</v>
      </c>
    </row>
    <row r="341" spans="5:7" x14ac:dyDescent="0.15">
      <c r="E341" s="86">
        <f t="array" aca="1" ref="E341:G341" ca="1">MultivarXs(3, 500, A$3:C$5, A$7:A$9, B$7:B$9)</f>
        <v>3.8359952164633998E-3</v>
      </c>
      <c r="F341" s="86">
        <f ca="1"/>
        <v>2.3473060690811381E-2</v>
      </c>
      <c r="G341" s="86">
        <f ca="1"/>
        <v>-7.3853388981039896E-3</v>
      </c>
    </row>
    <row r="342" spans="5:7" x14ac:dyDescent="0.15">
      <c r="E342" s="86">
        <f t="array" aca="1" ref="E342:G342" ca="1">MultivarXs(3, 500, A$3:C$5, A$7:A$9, B$7:B$9)</f>
        <v>1.020110085669741E-2</v>
      </c>
      <c r="F342" s="86">
        <f ca="1"/>
        <v>1.3573576975588331E-2</v>
      </c>
      <c r="G342" s="86">
        <f ca="1"/>
        <v>2.3845094427767673E-2</v>
      </c>
    </row>
    <row r="343" spans="5:7" x14ac:dyDescent="0.15">
      <c r="E343" s="86">
        <f t="array" aca="1" ref="E343:G343" ca="1">MultivarXs(3, 500, A$3:C$5, A$7:A$9, B$7:B$9)</f>
        <v>-6.1322230097937448E-3</v>
      </c>
      <c r="F343" s="86">
        <f ca="1"/>
        <v>1.0614405230899035E-2</v>
      </c>
      <c r="G343" s="86">
        <f ca="1"/>
        <v>-1.0154168380178972E-2</v>
      </c>
    </row>
    <row r="344" spans="5:7" x14ac:dyDescent="0.15">
      <c r="E344" s="86">
        <f t="array" aca="1" ref="E344:G344" ca="1">MultivarXs(3, 500, A$3:C$5, A$7:A$9, B$7:B$9)</f>
        <v>-1.1517878134320279E-2</v>
      </c>
      <c r="F344" s="86">
        <f ca="1"/>
        <v>-3.5602362634670117E-3</v>
      </c>
      <c r="G344" s="86">
        <f ca="1"/>
        <v>3.225455135442722E-3</v>
      </c>
    </row>
    <row r="345" spans="5:7" x14ac:dyDescent="0.15">
      <c r="E345" s="86">
        <f t="array" aca="1" ref="E345:G345" ca="1">MultivarXs(3, 500, A$3:C$5, A$7:A$9, B$7:B$9)</f>
        <v>-1.3407230417844562E-2</v>
      </c>
      <c r="F345" s="86">
        <f ca="1"/>
        <v>-3.2575986865983009E-2</v>
      </c>
      <c r="G345" s="86">
        <f ca="1"/>
        <v>-1.1275570858262852E-2</v>
      </c>
    </row>
    <row r="346" spans="5:7" x14ac:dyDescent="0.15">
      <c r="E346" s="86">
        <f t="array" aca="1" ref="E346:G346" ca="1">MultivarXs(3, 500, A$3:C$5, A$7:A$9, B$7:B$9)</f>
        <v>-2.0662887480695953E-2</v>
      </c>
      <c r="F346" s="86">
        <f ca="1"/>
        <v>1.0660918204365863E-2</v>
      </c>
      <c r="G346" s="86">
        <f ca="1"/>
        <v>-8.19409777763388E-3</v>
      </c>
    </row>
    <row r="347" spans="5:7" x14ac:dyDescent="0.15">
      <c r="E347" s="86">
        <f t="array" aca="1" ref="E347:G347" ca="1">MultivarXs(3, 500, A$3:C$5, A$7:A$9, B$7:B$9)</f>
        <v>1.9980384790634551E-2</v>
      </c>
      <c r="F347" s="86">
        <f ca="1"/>
        <v>-8.1865861078877344E-3</v>
      </c>
      <c r="G347" s="86">
        <f ca="1"/>
        <v>6.6228720707650645E-4</v>
      </c>
    </row>
    <row r="348" spans="5:7" x14ac:dyDescent="0.15">
      <c r="E348" s="86">
        <f t="array" aca="1" ref="E348:G348" ca="1">MultivarXs(3, 500, A$3:C$5, A$7:A$9, B$7:B$9)</f>
        <v>-1.7098691729517543E-2</v>
      </c>
      <c r="F348" s="86">
        <f ca="1"/>
        <v>-4.6833503004648086E-3</v>
      </c>
      <c r="G348" s="86">
        <f ca="1"/>
        <v>-2.9184457614310315E-3</v>
      </c>
    </row>
    <row r="349" spans="5:7" x14ac:dyDescent="0.15">
      <c r="E349" s="86">
        <f t="array" aca="1" ref="E349:G349" ca="1">MultivarXs(3, 500, A$3:C$5, A$7:A$9, B$7:B$9)</f>
        <v>2.8600146191085567E-3</v>
      </c>
      <c r="F349" s="86">
        <f ca="1"/>
        <v>5.5144775282060287E-3</v>
      </c>
      <c r="G349" s="86">
        <f ca="1"/>
        <v>-3.6096448868089704E-3</v>
      </c>
    </row>
    <row r="350" spans="5:7" x14ac:dyDescent="0.15">
      <c r="E350" s="86">
        <f t="array" aca="1" ref="E350:G350" ca="1">MultivarXs(3, 500, A$3:C$5, A$7:A$9, B$7:B$9)</f>
        <v>-1.861159973048088E-2</v>
      </c>
      <c r="F350" s="86">
        <f ca="1"/>
        <v>8.3773543871757741E-3</v>
      </c>
      <c r="G350" s="86">
        <f ca="1"/>
        <v>4.1609339790329332E-3</v>
      </c>
    </row>
    <row r="351" spans="5:7" x14ac:dyDescent="0.15">
      <c r="E351" s="86">
        <f t="array" aca="1" ref="E351:G351" ca="1">MultivarXs(3, 500, A$3:C$5, A$7:A$9, B$7:B$9)</f>
        <v>1.6850423208350739E-2</v>
      </c>
      <c r="F351" s="86">
        <f ca="1"/>
        <v>-1.6570396677565595E-2</v>
      </c>
      <c r="G351" s="86">
        <f ca="1"/>
        <v>-1.9134583909938088E-3</v>
      </c>
    </row>
    <row r="352" spans="5:7" x14ac:dyDescent="0.15">
      <c r="E352" s="86">
        <f t="array" aca="1" ref="E352:G352" ca="1">MultivarXs(3, 500, A$3:C$5, A$7:A$9, B$7:B$9)</f>
        <v>4.6631962219155177E-3</v>
      </c>
      <c r="F352" s="86">
        <f ca="1"/>
        <v>2.6104335417889785E-2</v>
      </c>
      <c r="G352" s="86">
        <f ca="1"/>
        <v>-8.7213980346889843E-3</v>
      </c>
    </row>
    <row r="353" spans="5:7" x14ac:dyDescent="0.15">
      <c r="E353" s="86">
        <f t="array" aca="1" ref="E353:G353" ca="1">MultivarXs(3, 500, A$3:C$5, A$7:A$9, B$7:B$9)</f>
        <v>-1.3126749609704694E-3</v>
      </c>
      <c r="F353" s="86">
        <f ca="1"/>
        <v>2.6103405755617049E-4</v>
      </c>
      <c r="G353" s="86">
        <f ca="1"/>
        <v>-6.8766660551022518E-3</v>
      </c>
    </row>
    <row r="354" spans="5:7" x14ac:dyDescent="0.15">
      <c r="E354" s="86">
        <f t="array" aca="1" ref="E354:G354" ca="1">MultivarXs(3, 500, A$3:C$5, A$7:A$9, B$7:B$9)</f>
        <v>3.1046896516634403E-2</v>
      </c>
      <c r="F354" s="86">
        <f ca="1"/>
        <v>-2.0984178203708785E-2</v>
      </c>
      <c r="G354" s="86">
        <f ca="1"/>
        <v>-1.2857021199193588E-2</v>
      </c>
    </row>
    <row r="355" spans="5:7" x14ac:dyDescent="0.15">
      <c r="E355" s="86">
        <f t="array" aca="1" ref="E355:G355" ca="1">MultivarXs(3, 500, A$3:C$5, A$7:A$9, B$7:B$9)</f>
        <v>-1.5163260206037905E-3</v>
      </c>
      <c r="F355" s="86">
        <f ca="1"/>
        <v>5.0059521274496048E-3</v>
      </c>
      <c r="G355" s="86">
        <f ca="1"/>
        <v>1.120776198957347E-2</v>
      </c>
    </row>
    <row r="356" spans="5:7" x14ac:dyDescent="0.15">
      <c r="E356" s="86">
        <f t="array" aca="1" ref="E356:G356" ca="1">MultivarXs(3, 500, A$3:C$5, A$7:A$9, B$7:B$9)</f>
        <v>-2.0705296622498481E-2</v>
      </c>
      <c r="F356" s="86">
        <f ca="1"/>
        <v>-2.0957279720974598E-2</v>
      </c>
      <c r="G356" s="86">
        <f ca="1"/>
        <v>-1.247723922428985E-2</v>
      </c>
    </row>
    <row r="357" spans="5:7" x14ac:dyDescent="0.15">
      <c r="E357" s="86">
        <f t="array" aca="1" ref="E357:G357" ca="1">MultivarXs(3, 500, A$3:C$5, A$7:A$9, B$7:B$9)</f>
        <v>-6.3514831824713859E-3</v>
      </c>
      <c r="F357" s="86">
        <f ca="1"/>
        <v>-4.3796211225108255E-3</v>
      </c>
      <c r="G357" s="86">
        <f ca="1"/>
        <v>-9.791040690255633E-3</v>
      </c>
    </row>
    <row r="358" spans="5:7" x14ac:dyDescent="0.15">
      <c r="E358" s="86">
        <f t="array" aca="1" ref="E358:G358" ca="1">MultivarXs(3, 500, A$3:C$5, A$7:A$9, B$7:B$9)</f>
        <v>-1.5669856422144246E-2</v>
      </c>
      <c r="F358" s="86">
        <f ca="1"/>
        <v>-3.9474188189335006E-2</v>
      </c>
      <c r="G358" s="86">
        <f ca="1"/>
        <v>6.888255192976785E-3</v>
      </c>
    </row>
    <row r="359" spans="5:7" x14ac:dyDescent="0.15">
      <c r="E359" s="86">
        <f t="array" aca="1" ref="E359:G359" ca="1">MultivarXs(3, 500, A$3:C$5, A$7:A$9, B$7:B$9)</f>
        <v>-1.2450313952030539E-2</v>
      </c>
      <c r="F359" s="86">
        <f ca="1"/>
        <v>-2.8491004603448524E-2</v>
      </c>
      <c r="G359" s="86">
        <f ca="1"/>
        <v>-1.8580009553723956E-3</v>
      </c>
    </row>
    <row r="360" spans="5:7" x14ac:dyDescent="0.15">
      <c r="E360" s="86">
        <f t="array" aca="1" ref="E360:G360" ca="1">MultivarXs(3, 500, A$3:C$5, A$7:A$9, B$7:B$9)</f>
        <v>1.9917383655867787E-2</v>
      </c>
      <c r="F360" s="86">
        <f ca="1"/>
        <v>1.3535229912045315E-2</v>
      </c>
      <c r="G360" s="86">
        <f ca="1"/>
        <v>9.871353484583208E-3</v>
      </c>
    </row>
    <row r="361" spans="5:7" x14ac:dyDescent="0.15">
      <c r="E361" s="86">
        <f t="array" aca="1" ref="E361:G361" ca="1">MultivarXs(3, 500, A$3:C$5, A$7:A$9, B$7:B$9)</f>
        <v>1.150601188511515E-2</v>
      </c>
      <c r="F361" s="86">
        <f ca="1"/>
        <v>2.4048173616917005E-3</v>
      </c>
      <c r="G361" s="86">
        <f ca="1"/>
        <v>-1.4294986749340936E-2</v>
      </c>
    </row>
    <row r="362" spans="5:7" x14ac:dyDescent="0.15">
      <c r="E362" s="86">
        <f t="array" aca="1" ref="E362:G362" ca="1">MultivarXs(3, 500, A$3:C$5, A$7:A$9, B$7:B$9)</f>
        <v>9.6162560322316064E-3</v>
      </c>
      <c r="F362" s="86">
        <f ca="1"/>
        <v>-4.0844075617226892E-3</v>
      </c>
      <c r="G362" s="86">
        <f ca="1"/>
        <v>-8.1816409372511677E-3</v>
      </c>
    </row>
    <row r="363" spans="5:7" x14ac:dyDescent="0.15">
      <c r="E363" s="86">
        <f t="array" aca="1" ref="E363:G363" ca="1">MultivarXs(3, 500, A$3:C$5, A$7:A$9, B$7:B$9)</f>
        <v>-7.8103890025400776E-3</v>
      </c>
      <c r="F363" s="86">
        <f ca="1"/>
        <v>-1.0701910270102878E-2</v>
      </c>
      <c r="G363" s="86">
        <f ca="1"/>
        <v>7.3951760247933287E-3</v>
      </c>
    </row>
    <row r="364" spans="5:7" x14ac:dyDescent="0.15">
      <c r="E364" s="86">
        <f t="array" aca="1" ref="E364:G364" ca="1">MultivarXs(3, 500, A$3:C$5, A$7:A$9, B$7:B$9)</f>
        <v>1.0264108510313405E-2</v>
      </c>
      <c r="F364" s="86">
        <f ca="1"/>
        <v>-9.0569108855214232E-4</v>
      </c>
      <c r="G364" s="86">
        <f ca="1"/>
        <v>5.4472579713500517E-4</v>
      </c>
    </row>
    <row r="365" spans="5:7" x14ac:dyDescent="0.15">
      <c r="E365" s="86">
        <f t="array" aca="1" ref="E365:G365" ca="1">MultivarXs(3, 500, A$3:C$5, A$7:A$9, B$7:B$9)</f>
        <v>3.7387615793354242E-2</v>
      </c>
      <c r="F365" s="86">
        <f ca="1"/>
        <v>1.5733457091639636E-2</v>
      </c>
      <c r="G365" s="86">
        <f ca="1"/>
        <v>5.1524896692464921E-3</v>
      </c>
    </row>
    <row r="366" spans="5:7" x14ac:dyDescent="0.15">
      <c r="E366" s="86">
        <f t="array" aca="1" ref="E366:G366" ca="1">MultivarXs(3, 500, A$3:C$5, A$7:A$9, B$7:B$9)</f>
        <v>4.6738563852978055E-3</v>
      </c>
      <c r="F366" s="86">
        <f ca="1"/>
        <v>-1.3918461981363773E-2</v>
      </c>
      <c r="G366" s="86">
        <f ca="1"/>
        <v>-1.2285821839419075E-2</v>
      </c>
    </row>
    <row r="367" spans="5:7" x14ac:dyDescent="0.15">
      <c r="E367" s="86">
        <f t="array" aca="1" ref="E367:G367" ca="1">MultivarXs(3, 500, A$3:C$5, A$7:A$9, B$7:B$9)</f>
        <v>-1.9452036513054854E-2</v>
      </c>
      <c r="F367" s="86">
        <f ca="1"/>
        <v>-1.1849436994876357E-3</v>
      </c>
      <c r="G367" s="86">
        <f ca="1"/>
        <v>-5.1583409039504388E-3</v>
      </c>
    </row>
    <row r="368" spans="5:7" x14ac:dyDescent="0.15">
      <c r="E368" s="86">
        <f t="array" aca="1" ref="E368:G368" ca="1">MultivarXs(3, 500, A$3:C$5, A$7:A$9, B$7:B$9)</f>
        <v>-1.142898840696443E-2</v>
      </c>
      <c r="F368" s="86">
        <f ca="1"/>
        <v>1.6801812039109888E-3</v>
      </c>
      <c r="G368" s="86">
        <f ca="1"/>
        <v>-7.2200132821078128E-3</v>
      </c>
    </row>
    <row r="369" spans="5:7" x14ac:dyDescent="0.15">
      <c r="E369" s="86">
        <f t="array" aca="1" ref="E369:G369" ca="1">MultivarXs(3, 500, A$3:C$5, A$7:A$9, B$7:B$9)</f>
        <v>1.3018210335554385E-2</v>
      </c>
      <c r="F369" s="86">
        <f ca="1"/>
        <v>2.2808032224907959E-2</v>
      </c>
      <c r="G369" s="86">
        <f ca="1"/>
        <v>1.1205601479260066E-2</v>
      </c>
    </row>
    <row r="370" spans="5:7" x14ac:dyDescent="0.15">
      <c r="E370" s="86">
        <f t="array" aca="1" ref="E370:G370" ca="1">MultivarXs(3, 500, A$3:C$5, A$7:A$9, B$7:B$9)</f>
        <v>4.0213179185255533E-3</v>
      </c>
      <c r="F370" s="86">
        <f ca="1"/>
        <v>-5.9963588246306669E-3</v>
      </c>
      <c r="G370" s="86">
        <f ca="1"/>
        <v>-3.4534315836872742E-3</v>
      </c>
    </row>
    <row r="371" spans="5:7" x14ac:dyDescent="0.15">
      <c r="E371" s="86">
        <f t="array" aca="1" ref="E371:G371" ca="1">MultivarXs(3, 500, A$3:C$5, A$7:A$9, B$7:B$9)</f>
        <v>1.7744989007095865E-2</v>
      </c>
      <c r="F371" s="86">
        <f ca="1"/>
        <v>6.649298912434742E-3</v>
      </c>
      <c r="G371" s="86">
        <f ca="1"/>
        <v>6.1658204880887385E-3</v>
      </c>
    </row>
    <row r="372" spans="5:7" x14ac:dyDescent="0.15">
      <c r="E372" s="86">
        <f t="array" aca="1" ref="E372:G372" ca="1">MultivarXs(3, 500, A$3:C$5, A$7:A$9, B$7:B$9)</f>
        <v>1.1281084721973422E-2</v>
      </c>
      <c r="F372" s="86">
        <f ca="1"/>
        <v>5.5032832083421596E-4</v>
      </c>
      <c r="G372" s="86">
        <f ca="1"/>
        <v>1.1837290643736115E-2</v>
      </c>
    </row>
    <row r="373" spans="5:7" x14ac:dyDescent="0.15">
      <c r="E373" s="86">
        <f t="array" aca="1" ref="E373:G373" ca="1">MultivarXs(3, 500, A$3:C$5, A$7:A$9, B$7:B$9)</f>
        <v>2.9562399518806862E-2</v>
      </c>
      <c r="F373" s="86">
        <f ca="1"/>
        <v>4.1666960468115868E-3</v>
      </c>
      <c r="G373" s="86">
        <f ca="1"/>
        <v>3.9515008197327488E-3</v>
      </c>
    </row>
    <row r="374" spans="5:7" x14ac:dyDescent="0.15">
      <c r="E374" s="86">
        <f t="array" aca="1" ref="E374:G374" ca="1">MultivarXs(3, 500, A$3:C$5, A$7:A$9, B$7:B$9)</f>
        <v>3.1965959315183121E-3</v>
      </c>
      <c r="F374" s="86">
        <f ca="1"/>
        <v>9.7469673057198909E-3</v>
      </c>
      <c r="G374" s="86">
        <f ca="1"/>
        <v>6.2655418178456683E-3</v>
      </c>
    </row>
    <row r="375" spans="5:7" x14ac:dyDescent="0.15">
      <c r="E375" s="86">
        <f t="array" aca="1" ref="E375:G375" ca="1">MultivarXs(3, 500, A$3:C$5, A$7:A$9, B$7:B$9)</f>
        <v>3.0481091835755543E-3</v>
      </c>
      <c r="F375" s="86">
        <f ca="1"/>
        <v>2.5019542195060963E-3</v>
      </c>
      <c r="G375" s="86">
        <f ca="1"/>
        <v>1.6919919265609333E-3</v>
      </c>
    </row>
    <row r="376" spans="5:7" x14ac:dyDescent="0.15">
      <c r="E376" s="86">
        <f t="array" aca="1" ref="E376:G376" ca="1">MultivarXs(3, 500, A$3:C$5, A$7:A$9, B$7:B$9)</f>
        <v>1.2079475060443906E-2</v>
      </c>
      <c r="F376" s="86">
        <f ca="1"/>
        <v>3.4286398702148826E-3</v>
      </c>
      <c r="G376" s="86">
        <f ca="1"/>
        <v>-7.9868421461742663E-3</v>
      </c>
    </row>
    <row r="377" spans="5:7" x14ac:dyDescent="0.15">
      <c r="E377" s="86">
        <f t="array" aca="1" ref="E377:G377" ca="1">MultivarXs(3, 500, A$3:C$5, A$7:A$9, B$7:B$9)</f>
        <v>-4.0125336875540011E-3</v>
      </c>
      <c r="F377" s="86">
        <f ca="1"/>
        <v>1.3667185811717159E-2</v>
      </c>
      <c r="G377" s="86">
        <f ca="1"/>
        <v>1.616674350706456E-4</v>
      </c>
    </row>
    <row r="378" spans="5:7" x14ac:dyDescent="0.15">
      <c r="E378" s="86">
        <f t="array" aca="1" ref="E378:G378" ca="1">MultivarXs(3, 500, A$3:C$5, A$7:A$9, B$7:B$9)</f>
        <v>2.3993249273385662E-3</v>
      </c>
      <c r="F378" s="86">
        <f ca="1"/>
        <v>-2.3895837814770634E-3</v>
      </c>
      <c r="G378" s="86">
        <f ca="1"/>
        <v>-1.6795406934071375E-4</v>
      </c>
    </row>
    <row r="379" spans="5:7" x14ac:dyDescent="0.15">
      <c r="E379" s="86">
        <f t="array" aca="1" ref="E379:G379" ca="1">MultivarXs(3, 500, A$3:C$5, A$7:A$9, B$7:B$9)</f>
        <v>-7.4148664908481607E-3</v>
      </c>
      <c r="F379" s="86">
        <f ca="1"/>
        <v>-1.8550467677701285E-2</v>
      </c>
      <c r="G379" s="86">
        <f ca="1"/>
        <v>7.4790796383150376E-3</v>
      </c>
    </row>
    <row r="380" spans="5:7" x14ac:dyDescent="0.15">
      <c r="E380" s="86">
        <f t="array" aca="1" ref="E380:G380" ca="1">MultivarXs(3, 500, A$3:C$5, A$7:A$9, B$7:B$9)</f>
        <v>-1.3696538014995483E-3</v>
      </c>
      <c r="F380" s="86">
        <f ca="1"/>
        <v>-1.6018043287447749E-2</v>
      </c>
      <c r="G380" s="86">
        <f ca="1"/>
        <v>-8.9950662210996589E-3</v>
      </c>
    </row>
    <row r="381" spans="5:7" x14ac:dyDescent="0.15">
      <c r="E381" s="86">
        <f t="array" aca="1" ref="E381:G381" ca="1">MultivarXs(3, 500, A$3:C$5, A$7:A$9, B$7:B$9)</f>
        <v>1.9208993390933522E-2</v>
      </c>
      <c r="F381" s="86">
        <f ca="1"/>
        <v>6.1215230218522911E-3</v>
      </c>
      <c r="G381" s="86">
        <f ca="1"/>
        <v>-5.7504883135805936E-3</v>
      </c>
    </row>
    <row r="382" spans="5:7" x14ac:dyDescent="0.15">
      <c r="E382" s="86">
        <f t="array" aca="1" ref="E382:G382" ca="1">MultivarXs(3, 500, A$3:C$5, A$7:A$9, B$7:B$9)</f>
        <v>3.0185943778612782E-3</v>
      </c>
      <c r="F382" s="86">
        <f ca="1"/>
        <v>-6.3128920104803619E-3</v>
      </c>
      <c r="G382" s="86">
        <f ca="1"/>
        <v>6.2989890387789066E-4</v>
      </c>
    </row>
    <row r="383" spans="5:7" x14ac:dyDescent="0.15">
      <c r="E383" s="86">
        <f t="array" aca="1" ref="E383:G383" ca="1">MultivarXs(3, 500, A$3:C$5, A$7:A$9, B$7:B$9)</f>
        <v>-1.1147496033174465E-2</v>
      </c>
      <c r="F383" s="86">
        <f ca="1"/>
        <v>-1.32572399668712E-2</v>
      </c>
      <c r="G383" s="86">
        <f ca="1"/>
        <v>1.2037954059752337E-2</v>
      </c>
    </row>
    <row r="384" spans="5:7" x14ac:dyDescent="0.15">
      <c r="E384" s="86">
        <f t="array" aca="1" ref="E384:G384" ca="1">MultivarXs(3, 500, A$3:C$5, A$7:A$9, B$7:B$9)</f>
        <v>-9.4118544858221818E-3</v>
      </c>
      <c r="F384" s="86">
        <f ca="1"/>
        <v>1.503798751216409E-2</v>
      </c>
      <c r="G384" s="86">
        <f ca="1"/>
        <v>1.4510116449252188E-2</v>
      </c>
    </row>
    <row r="385" spans="5:7" x14ac:dyDescent="0.15">
      <c r="E385" s="86">
        <f t="array" aca="1" ref="E385:G385" ca="1">MultivarXs(3, 500, A$3:C$5, A$7:A$9, B$7:B$9)</f>
        <v>3.6537261226404077E-3</v>
      </c>
      <c r="F385" s="86">
        <f ca="1"/>
        <v>-3.9700291857214911E-3</v>
      </c>
      <c r="G385" s="86">
        <f ca="1"/>
        <v>5.8587847371521723E-3</v>
      </c>
    </row>
    <row r="386" spans="5:7" x14ac:dyDescent="0.15">
      <c r="E386" s="86">
        <f t="array" aca="1" ref="E386:G386" ca="1">MultivarXs(3, 500, A$3:C$5, A$7:A$9, B$7:B$9)</f>
        <v>-1.2114223928483571E-3</v>
      </c>
      <c r="F386" s="86">
        <f ca="1"/>
        <v>2.4365889207997878E-2</v>
      </c>
      <c r="G386" s="86">
        <f ca="1"/>
        <v>1.7920788674920792E-3</v>
      </c>
    </row>
    <row r="387" spans="5:7" x14ac:dyDescent="0.15">
      <c r="E387" s="86">
        <f t="array" aca="1" ref="E387:G387" ca="1">MultivarXs(3, 500, A$3:C$5, A$7:A$9, B$7:B$9)</f>
        <v>-1.550398324764221E-2</v>
      </c>
      <c r="F387" s="86">
        <f ca="1"/>
        <v>-1.8940331060310539E-2</v>
      </c>
      <c r="G387" s="86">
        <f ca="1"/>
        <v>-7.7553135189844021E-3</v>
      </c>
    </row>
    <row r="388" spans="5:7" x14ac:dyDescent="0.15">
      <c r="E388" s="86">
        <f t="array" aca="1" ref="E388:G388" ca="1">MultivarXs(3, 500, A$3:C$5, A$7:A$9, B$7:B$9)</f>
        <v>3.3348422897364009E-3</v>
      </c>
      <c r="F388" s="86">
        <f ca="1"/>
        <v>-1.727009424088799E-2</v>
      </c>
      <c r="G388" s="86">
        <f ca="1"/>
        <v>7.5272306843636987E-3</v>
      </c>
    </row>
    <row r="389" spans="5:7" x14ac:dyDescent="0.15">
      <c r="E389" s="86">
        <f t="array" aca="1" ref="E389:G389" ca="1">MultivarXs(3, 500, A$3:C$5, A$7:A$9, B$7:B$9)</f>
        <v>1.3538466120613218E-2</v>
      </c>
      <c r="F389" s="86">
        <f ca="1"/>
        <v>-1.7608726296916042E-2</v>
      </c>
      <c r="G389" s="86">
        <f ca="1"/>
        <v>-5.8043857573449875E-3</v>
      </c>
    </row>
    <row r="390" spans="5:7" x14ac:dyDescent="0.15">
      <c r="E390" s="86">
        <f t="array" aca="1" ref="E390:G390" ca="1">MultivarXs(3, 500, A$3:C$5, A$7:A$9, B$7:B$9)</f>
        <v>3.6692312462130195E-4</v>
      </c>
      <c r="F390" s="86">
        <f ca="1"/>
        <v>6.5482177541805221E-3</v>
      </c>
      <c r="G390" s="86">
        <f ca="1"/>
        <v>-4.8811760833723908E-5</v>
      </c>
    </row>
    <row r="391" spans="5:7" x14ac:dyDescent="0.15">
      <c r="E391" s="86">
        <f t="array" aca="1" ref="E391:G391" ca="1">MultivarXs(3, 500, A$3:C$5, A$7:A$9, B$7:B$9)</f>
        <v>2.6911844360674991E-2</v>
      </c>
      <c r="F391" s="86">
        <f ca="1"/>
        <v>1.0438608069610455E-2</v>
      </c>
      <c r="G391" s="86">
        <f ca="1"/>
        <v>9.5808014280643963E-3</v>
      </c>
    </row>
    <row r="392" spans="5:7" x14ac:dyDescent="0.15">
      <c r="E392" s="86">
        <f t="array" aca="1" ref="E392:G392" ca="1">MultivarXs(3, 500, A$3:C$5, A$7:A$9, B$7:B$9)</f>
        <v>-1.3623392765431827E-2</v>
      </c>
      <c r="F392" s="86">
        <f ca="1"/>
        <v>-2.7600739882544998E-2</v>
      </c>
      <c r="G392" s="86">
        <f ca="1"/>
        <v>-2.2370979880370514E-3</v>
      </c>
    </row>
    <row r="393" spans="5:7" x14ac:dyDescent="0.15">
      <c r="E393" s="86">
        <f t="array" aca="1" ref="E393:G393" ca="1">MultivarXs(3, 500, A$3:C$5, A$7:A$9, B$7:B$9)</f>
        <v>5.4356131765138276E-3</v>
      </c>
      <c r="F393" s="86">
        <f ca="1"/>
        <v>-1.7563276251021769E-2</v>
      </c>
      <c r="G393" s="86">
        <f ca="1"/>
        <v>2.1677140277521329E-3</v>
      </c>
    </row>
    <row r="394" spans="5:7" x14ac:dyDescent="0.15">
      <c r="E394" s="86">
        <f t="array" aca="1" ref="E394:G394" ca="1">MultivarXs(3, 500, A$3:C$5, A$7:A$9, B$7:B$9)</f>
        <v>-1.2701833754268513E-3</v>
      </c>
      <c r="F394" s="86">
        <f ca="1"/>
        <v>5.2361653236891014E-5</v>
      </c>
      <c r="G394" s="86">
        <f ca="1"/>
        <v>-1.5656174129427632E-3</v>
      </c>
    </row>
    <row r="395" spans="5:7" x14ac:dyDescent="0.15">
      <c r="E395" s="86">
        <f t="array" aca="1" ref="E395:G395" ca="1">MultivarXs(3, 500, A$3:C$5, A$7:A$9, B$7:B$9)</f>
        <v>4.7480637155830714E-3</v>
      </c>
      <c r="F395" s="86">
        <f ca="1"/>
        <v>4.9119032455258423E-3</v>
      </c>
      <c r="G395" s="86">
        <f ca="1"/>
        <v>-7.0265015409040855E-3</v>
      </c>
    </row>
    <row r="396" spans="5:7" x14ac:dyDescent="0.15">
      <c r="E396" s="86">
        <f t="array" aca="1" ref="E396:G396" ca="1">MultivarXs(3, 500, A$3:C$5, A$7:A$9, B$7:B$9)</f>
        <v>-6.3726337123192886E-3</v>
      </c>
      <c r="F396" s="86">
        <f ca="1"/>
        <v>3.1099735755222716E-3</v>
      </c>
      <c r="G396" s="86">
        <f ca="1"/>
        <v>-5.5682242753321933E-4</v>
      </c>
    </row>
    <row r="397" spans="5:7" x14ac:dyDescent="0.15">
      <c r="E397" s="86">
        <f t="array" aca="1" ref="E397:G397" ca="1">MultivarXs(3, 500, A$3:C$5, A$7:A$9, B$7:B$9)</f>
        <v>-2.5401321032274197E-3</v>
      </c>
      <c r="F397" s="86">
        <f ca="1"/>
        <v>1.8904961476014157E-2</v>
      </c>
      <c r="G397" s="86">
        <f ca="1"/>
        <v>1.1784671338832878E-2</v>
      </c>
    </row>
    <row r="398" spans="5:7" x14ac:dyDescent="0.15">
      <c r="E398" s="86">
        <f t="array" aca="1" ref="E398:G398" ca="1">MultivarXs(3, 500, A$3:C$5, A$7:A$9, B$7:B$9)</f>
        <v>-2.5583624910315291E-2</v>
      </c>
      <c r="F398" s="86">
        <f ca="1"/>
        <v>1.3489162113658021E-2</v>
      </c>
      <c r="G398" s="86">
        <f ca="1"/>
        <v>5.3809621198178364E-4</v>
      </c>
    </row>
    <row r="399" spans="5:7" x14ac:dyDescent="0.15">
      <c r="E399" s="86">
        <f t="array" aca="1" ref="E399:G399" ca="1">MultivarXs(3, 500, A$3:C$5, A$7:A$9, B$7:B$9)</f>
        <v>-3.5844853463016225E-2</v>
      </c>
      <c r="F399" s="86">
        <f ca="1"/>
        <v>-3.1114710408142031E-2</v>
      </c>
      <c r="G399" s="86">
        <f ca="1"/>
        <v>-9.6952122256822107E-3</v>
      </c>
    </row>
    <row r="400" spans="5:7" x14ac:dyDescent="0.15">
      <c r="E400" s="86">
        <f t="array" aca="1" ref="E400:G400" ca="1">MultivarXs(3, 500, A$3:C$5, A$7:A$9, B$7:B$9)</f>
        <v>1.3088750400814693E-3</v>
      </c>
      <c r="F400" s="86">
        <f ca="1"/>
        <v>-4.0878482552522142E-3</v>
      </c>
      <c r="G400" s="86">
        <f ca="1"/>
        <v>3.5796617657335651E-3</v>
      </c>
    </row>
    <row r="401" spans="5:7" x14ac:dyDescent="0.15">
      <c r="E401" s="86">
        <f t="array" aca="1" ref="E401:G401" ca="1">MultivarXs(3, 500, A$3:C$5, A$7:A$9, B$7:B$9)</f>
        <v>6.5606202145444895E-3</v>
      </c>
      <c r="F401" s="86">
        <f ca="1"/>
        <v>1.5102100159887E-2</v>
      </c>
      <c r="G401" s="86">
        <f ca="1"/>
        <v>1.3071066403584139E-2</v>
      </c>
    </row>
    <row r="402" spans="5:7" x14ac:dyDescent="0.15">
      <c r="E402" s="86">
        <f t="array" aca="1" ref="E402:G402" ca="1">MultivarXs(3, 500, A$3:C$5, A$7:A$9, B$7:B$9)</f>
        <v>4.5586682885401832E-3</v>
      </c>
      <c r="F402" s="86">
        <f ca="1"/>
        <v>-5.5303912008382687E-3</v>
      </c>
      <c r="G402" s="86">
        <f ca="1"/>
        <v>-2.6345583860759633E-3</v>
      </c>
    </row>
    <row r="403" spans="5:7" x14ac:dyDescent="0.15">
      <c r="E403" s="86">
        <f t="array" aca="1" ref="E403:G403" ca="1">MultivarXs(3, 500, A$3:C$5, A$7:A$9, B$7:B$9)</f>
        <v>-2.4610265354747737E-2</v>
      </c>
      <c r="F403" s="86">
        <f ca="1"/>
        <v>-9.3246469016365153E-4</v>
      </c>
      <c r="G403" s="86">
        <f ca="1"/>
        <v>5.7709217100202145E-3</v>
      </c>
    </row>
    <row r="404" spans="5:7" x14ac:dyDescent="0.15">
      <c r="E404" s="86">
        <f t="array" aca="1" ref="E404:G404" ca="1">MultivarXs(3, 500, A$3:C$5, A$7:A$9, B$7:B$9)</f>
        <v>2.4528064446452573E-3</v>
      </c>
      <c r="F404" s="86">
        <f ca="1"/>
        <v>-2.0391194685345958E-2</v>
      </c>
      <c r="G404" s="86">
        <f ca="1"/>
        <v>-5.6553245685400763E-4</v>
      </c>
    </row>
    <row r="405" spans="5:7" x14ac:dyDescent="0.15">
      <c r="E405" s="86">
        <f t="array" aca="1" ref="E405:G405" ca="1">MultivarXs(3, 500, A$3:C$5, A$7:A$9, B$7:B$9)</f>
        <v>-2.1184916231982719E-2</v>
      </c>
      <c r="F405" s="86">
        <f ca="1"/>
        <v>-4.1233198370791549E-2</v>
      </c>
      <c r="G405" s="86">
        <f ca="1"/>
        <v>-6.922686822094657E-3</v>
      </c>
    </row>
    <row r="406" spans="5:7" x14ac:dyDescent="0.15">
      <c r="E406" s="86">
        <f t="array" aca="1" ref="E406:G406" ca="1">MultivarXs(3, 500, A$3:C$5, A$7:A$9, B$7:B$9)</f>
        <v>-1.7874419857211892E-3</v>
      </c>
      <c r="F406" s="86">
        <f ca="1"/>
        <v>6.0947753980390576E-3</v>
      </c>
      <c r="G406" s="86">
        <f ca="1"/>
        <v>-4.843230819661753E-3</v>
      </c>
    </row>
    <row r="407" spans="5:7" x14ac:dyDescent="0.15">
      <c r="E407" s="86">
        <f t="array" aca="1" ref="E407:G407" ca="1">MultivarXs(3, 500, A$3:C$5, A$7:A$9, B$7:B$9)</f>
        <v>-1.0048312862477708E-2</v>
      </c>
      <c r="F407" s="86">
        <f ca="1"/>
        <v>1.465029727277848E-2</v>
      </c>
      <c r="G407" s="86">
        <f ca="1"/>
        <v>8.7396525797086046E-3</v>
      </c>
    </row>
    <row r="408" spans="5:7" x14ac:dyDescent="0.15">
      <c r="E408" s="86">
        <f t="array" aca="1" ref="E408:G408" ca="1">MultivarXs(3, 500, A$3:C$5, A$7:A$9, B$7:B$9)</f>
        <v>6.7921783247348497E-4</v>
      </c>
      <c r="F408" s="86">
        <f ca="1"/>
        <v>-4.0776673363597778E-3</v>
      </c>
      <c r="G408" s="86">
        <f ca="1"/>
        <v>-4.3085971147799034E-3</v>
      </c>
    </row>
    <row r="409" spans="5:7" x14ac:dyDescent="0.15">
      <c r="E409" s="86">
        <f t="array" aca="1" ref="E409:G409" ca="1">MultivarXs(3, 500, A$3:C$5, A$7:A$9, B$7:B$9)</f>
        <v>-1.1004199493568423E-2</v>
      </c>
      <c r="F409" s="86">
        <f ca="1"/>
        <v>2.2133021360763649E-3</v>
      </c>
      <c r="G409" s="86">
        <f ca="1"/>
        <v>7.9356450072240881E-4</v>
      </c>
    </row>
    <row r="410" spans="5:7" x14ac:dyDescent="0.15">
      <c r="E410" s="86">
        <f t="array" aca="1" ref="E410:G410" ca="1">MultivarXs(3, 500, A$3:C$5, A$7:A$9, B$7:B$9)</f>
        <v>-1.5183425409568694E-3</v>
      </c>
      <c r="F410" s="86">
        <f ca="1"/>
        <v>-2.7489490827092965E-2</v>
      </c>
      <c r="G410" s="86">
        <f ca="1"/>
        <v>-8.6891333411843897E-3</v>
      </c>
    </row>
    <row r="411" spans="5:7" x14ac:dyDescent="0.15">
      <c r="E411" s="86">
        <f t="array" aca="1" ref="E411:G411" ca="1">MultivarXs(3, 500, A$3:C$5, A$7:A$9, B$7:B$9)</f>
        <v>4.0187914874250949E-3</v>
      </c>
      <c r="F411" s="86">
        <f ca="1"/>
        <v>-3.5310634001666147E-2</v>
      </c>
      <c r="G411" s="86">
        <f ca="1"/>
        <v>5.3609814243642771E-3</v>
      </c>
    </row>
    <row r="412" spans="5:7" x14ac:dyDescent="0.15">
      <c r="E412" s="86">
        <f t="array" aca="1" ref="E412:G412" ca="1">MultivarXs(3, 500, A$3:C$5, A$7:A$9, B$7:B$9)</f>
        <v>-1.915989688708991E-3</v>
      </c>
      <c r="F412" s="86">
        <f ca="1"/>
        <v>4.9605714899636387E-3</v>
      </c>
      <c r="G412" s="86">
        <f ca="1"/>
        <v>-9.8520901682374856E-3</v>
      </c>
    </row>
    <row r="413" spans="5:7" x14ac:dyDescent="0.15">
      <c r="E413" s="86">
        <f t="array" aca="1" ref="E413:G413" ca="1">MultivarXs(3, 500, A$3:C$5, A$7:A$9, B$7:B$9)</f>
        <v>1.4974145973912431E-3</v>
      </c>
      <c r="F413" s="86">
        <f ca="1"/>
        <v>-8.6504671992322993E-3</v>
      </c>
      <c r="G413" s="86">
        <f ca="1"/>
        <v>8.5286172647503541E-3</v>
      </c>
    </row>
    <row r="414" spans="5:7" x14ac:dyDescent="0.15">
      <c r="E414" s="86">
        <f t="array" aca="1" ref="E414:G414" ca="1">MultivarXs(3, 500, A$3:C$5, A$7:A$9, B$7:B$9)</f>
        <v>2.419778603414378E-2</v>
      </c>
      <c r="F414" s="86">
        <f ca="1"/>
        <v>6.3559160962187227E-3</v>
      </c>
      <c r="G414" s="86">
        <f ca="1"/>
        <v>2.431959383628867E-3</v>
      </c>
    </row>
    <row r="415" spans="5:7" x14ac:dyDescent="0.15">
      <c r="E415" s="86">
        <f t="array" aca="1" ref="E415:G415" ca="1">MultivarXs(3, 500, A$3:C$5, A$7:A$9, B$7:B$9)</f>
        <v>-1.9996668374196398E-2</v>
      </c>
      <c r="F415" s="86">
        <f ca="1"/>
        <v>-5.0860365725365715E-4</v>
      </c>
      <c r="G415" s="86">
        <f ca="1"/>
        <v>-4.760333856500952E-3</v>
      </c>
    </row>
    <row r="416" spans="5:7" x14ac:dyDescent="0.15">
      <c r="E416" s="86">
        <f t="array" aca="1" ref="E416:G416" ca="1">MultivarXs(3, 500, A$3:C$5, A$7:A$9, B$7:B$9)</f>
        <v>2.7659531112769141E-3</v>
      </c>
      <c r="F416" s="86">
        <f ca="1"/>
        <v>1.3098932053987634E-3</v>
      </c>
      <c r="G416" s="86">
        <f ca="1"/>
        <v>-4.1026110189081129E-3</v>
      </c>
    </row>
    <row r="417" spans="5:7" x14ac:dyDescent="0.15">
      <c r="E417" s="86">
        <f t="array" aca="1" ref="E417:G417" ca="1">MultivarXs(3, 500, A$3:C$5, A$7:A$9, B$7:B$9)</f>
        <v>2.887820770312864E-3</v>
      </c>
      <c r="F417" s="86">
        <f ca="1"/>
        <v>-2.4413322134616065E-3</v>
      </c>
      <c r="G417" s="86">
        <f ca="1"/>
        <v>7.9097125361520266E-3</v>
      </c>
    </row>
    <row r="418" spans="5:7" x14ac:dyDescent="0.15">
      <c r="E418" s="86">
        <f t="array" aca="1" ref="E418:G418" ca="1">MultivarXs(3, 500, A$3:C$5, A$7:A$9, B$7:B$9)</f>
        <v>2.7514159041598082E-2</v>
      </c>
      <c r="F418" s="86">
        <f ca="1"/>
        <v>1.0703713197634851E-2</v>
      </c>
      <c r="G418" s="86">
        <f ca="1"/>
        <v>-5.1474802034084111E-3</v>
      </c>
    </row>
    <row r="419" spans="5:7" x14ac:dyDescent="0.15">
      <c r="E419" s="86">
        <f t="array" aca="1" ref="E419:G419" ca="1">MultivarXs(3, 500, A$3:C$5, A$7:A$9, B$7:B$9)</f>
        <v>1.6864447573792452E-2</v>
      </c>
      <c r="F419" s="86">
        <f ca="1"/>
        <v>2.4914769943549599E-2</v>
      </c>
      <c r="G419" s="86">
        <f ca="1"/>
        <v>7.5472614169337406E-3</v>
      </c>
    </row>
    <row r="420" spans="5:7" x14ac:dyDescent="0.15">
      <c r="E420" s="86">
        <f t="array" aca="1" ref="E420:G420" ca="1">MultivarXs(3, 500, A$3:C$5, A$7:A$9, B$7:B$9)</f>
        <v>1.588771056799582E-2</v>
      </c>
      <c r="F420" s="86">
        <f ca="1"/>
        <v>1.8120755691155725E-2</v>
      </c>
      <c r="G420" s="86">
        <f ca="1"/>
        <v>9.0865043037870082E-3</v>
      </c>
    </row>
    <row r="421" spans="5:7" x14ac:dyDescent="0.15">
      <c r="E421" s="86">
        <f t="array" aca="1" ref="E421:G421" ca="1">MultivarXs(3, 500, A$3:C$5, A$7:A$9, B$7:B$9)</f>
        <v>5.507473593321423E-3</v>
      </c>
      <c r="F421" s="86">
        <f ca="1"/>
        <v>3.9325949822071838E-3</v>
      </c>
      <c r="G421" s="86">
        <f ca="1"/>
        <v>6.762809459412605E-3</v>
      </c>
    </row>
    <row r="422" spans="5:7" x14ac:dyDescent="0.15">
      <c r="E422" s="86">
        <f t="array" aca="1" ref="E422:G422" ca="1">MultivarXs(3, 500, A$3:C$5, A$7:A$9, B$7:B$9)</f>
        <v>-5.4132036782332908E-3</v>
      </c>
      <c r="F422" s="86">
        <f ca="1"/>
        <v>1.4224658788354076E-3</v>
      </c>
      <c r="G422" s="86">
        <f ca="1"/>
        <v>8.6122537107069814E-3</v>
      </c>
    </row>
    <row r="423" spans="5:7" x14ac:dyDescent="0.15">
      <c r="E423" s="86">
        <f t="array" aca="1" ref="E423:G423" ca="1">MultivarXs(3, 500, A$3:C$5, A$7:A$9, B$7:B$9)</f>
        <v>2.25572560788381E-2</v>
      </c>
      <c r="F423" s="86">
        <f ca="1"/>
        <v>1.4216553633368805E-2</v>
      </c>
      <c r="G423" s="86">
        <f ca="1"/>
        <v>1.5370324268659306E-4</v>
      </c>
    </row>
    <row r="424" spans="5:7" x14ac:dyDescent="0.15">
      <c r="E424" s="86">
        <f t="array" aca="1" ref="E424:G424" ca="1">MultivarXs(3, 500, A$3:C$5, A$7:A$9, B$7:B$9)</f>
        <v>3.0362817411912647E-2</v>
      </c>
      <c r="F424" s="86">
        <f ca="1"/>
        <v>9.2047191010059572E-3</v>
      </c>
      <c r="G424" s="86">
        <f ca="1"/>
        <v>2.8878104317403685E-3</v>
      </c>
    </row>
    <row r="425" spans="5:7" x14ac:dyDescent="0.15">
      <c r="E425" s="86">
        <f t="array" aca="1" ref="E425:G425" ca="1">MultivarXs(3, 500, A$3:C$5, A$7:A$9, B$7:B$9)</f>
        <v>2.8822984920195533E-3</v>
      </c>
      <c r="F425" s="86">
        <f ca="1"/>
        <v>2.1400963947792857E-2</v>
      </c>
      <c r="G425" s="86">
        <f ca="1"/>
        <v>3.2516700990944856E-3</v>
      </c>
    </row>
    <row r="426" spans="5:7" x14ac:dyDescent="0.15">
      <c r="E426" s="86">
        <f t="array" aca="1" ref="E426:G426" ca="1">MultivarXs(3, 500, A$3:C$5, A$7:A$9, B$7:B$9)</f>
        <v>-8.2224448889951123E-4</v>
      </c>
      <c r="F426" s="86">
        <f ca="1"/>
        <v>2.3388272773150615E-2</v>
      </c>
      <c r="G426" s="86">
        <f ca="1"/>
        <v>-1.005225579641237E-2</v>
      </c>
    </row>
    <row r="427" spans="5:7" x14ac:dyDescent="0.15">
      <c r="E427" s="86">
        <f t="array" aca="1" ref="E427:G427" ca="1">MultivarXs(3, 500, A$3:C$5, A$7:A$9, B$7:B$9)</f>
        <v>6.295617400769212E-3</v>
      </c>
      <c r="F427" s="86">
        <f ca="1"/>
        <v>1.704929912335457E-3</v>
      </c>
      <c r="G427" s="86">
        <f ca="1"/>
        <v>-2.2865236478668768E-3</v>
      </c>
    </row>
    <row r="428" spans="5:7" x14ac:dyDescent="0.15">
      <c r="E428" s="86">
        <f t="array" aca="1" ref="E428:G428" ca="1">MultivarXs(3, 500, A$3:C$5, A$7:A$9, B$7:B$9)</f>
        <v>2.9370990620576735E-3</v>
      </c>
      <c r="F428" s="86">
        <f ca="1"/>
        <v>7.1153728363360291E-3</v>
      </c>
      <c r="G428" s="86">
        <f ca="1"/>
        <v>1.3893884062017515E-2</v>
      </c>
    </row>
    <row r="429" spans="5:7" x14ac:dyDescent="0.15">
      <c r="E429" s="86">
        <f t="array" aca="1" ref="E429:G429" ca="1">MultivarXs(3, 500, A$3:C$5, A$7:A$9, B$7:B$9)</f>
        <v>-3.4138211231581522E-4</v>
      </c>
      <c r="F429" s="86">
        <f ca="1"/>
        <v>-1.4210401695064871E-2</v>
      </c>
      <c r="G429" s="86">
        <f ca="1"/>
        <v>4.7786647326551876E-3</v>
      </c>
    </row>
    <row r="430" spans="5:7" x14ac:dyDescent="0.15">
      <c r="E430" s="86">
        <f t="array" aca="1" ref="E430:G430" ca="1">MultivarXs(3, 500, A$3:C$5, A$7:A$9, B$7:B$9)</f>
        <v>2.484326611083449E-2</v>
      </c>
      <c r="F430" s="86">
        <f ca="1"/>
        <v>1.6929129790669163E-2</v>
      </c>
      <c r="G430" s="86">
        <f ca="1"/>
        <v>7.9585161300665726E-3</v>
      </c>
    </row>
    <row r="431" spans="5:7" x14ac:dyDescent="0.15">
      <c r="E431" s="86">
        <f t="array" aca="1" ref="E431:G431" ca="1">MultivarXs(3, 500, A$3:C$5, A$7:A$9, B$7:B$9)</f>
        <v>1.9666639512348478E-3</v>
      </c>
      <c r="F431" s="86">
        <f ca="1"/>
        <v>1.5816700271063269E-2</v>
      </c>
      <c r="G431" s="86">
        <f ca="1"/>
        <v>2.6946792930233297E-3</v>
      </c>
    </row>
    <row r="432" spans="5:7" x14ac:dyDescent="0.15">
      <c r="E432" s="86">
        <f t="array" aca="1" ref="E432:G432" ca="1">MultivarXs(3, 500, A$3:C$5, A$7:A$9, B$7:B$9)</f>
        <v>4.2958675011821469E-2</v>
      </c>
      <c r="F432" s="86">
        <f ca="1"/>
        <v>1.1589199682882068E-3</v>
      </c>
      <c r="G432" s="86">
        <f ca="1"/>
        <v>4.6827451511668719E-3</v>
      </c>
    </row>
    <row r="433" spans="5:7" x14ac:dyDescent="0.15">
      <c r="E433" s="86">
        <f t="array" aca="1" ref="E433:G433" ca="1">MultivarXs(3, 500, A$3:C$5, A$7:A$9, B$7:B$9)</f>
        <v>2.2730500726199764E-3</v>
      </c>
      <c r="F433" s="86">
        <f ca="1"/>
        <v>2.4233279333708606E-2</v>
      </c>
      <c r="G433" s="86">
        <f ca="1"/>
        <v>7.8512708181805533E-3</v>
      </c>
    </row>
    <row r="434" spans="5:7" x14ac:dyDescent="0.15">
      <c r="E434" s="86">
        <f t="array" aca="1" ref="E434:G434" ca="1">MultivarXs(3, 500, A$3:C$5, A$7:A$9, B$7:B$9)</f>
        <v>-7.8949433119563702E-3</v>
      </c>
      <c r="F434" s="86">
        <f ca="1"/>
        <v>-1.836393812713013E-4</v>
      </c>
      <c r="G434" s="86">
        <f ca="1"/>
        <v>-5.5755916111270938E-3</v>
      </c>
    </row>
    <row r="435" spans="5:7" x14ac:dyDescent="0.15">
      <c r="E435" s="86">
        <f t="array" aca="1" ref="E435:G435" ca="1">MultivarXs(3, 500, A$3:C$5, A$7:A$9, B$7:B$9)</f>
        <v>3.1678636464814443E-3</v>
      </c>
      <c r="F435" s="86">
        <f ca="1"/>
        <v>-9.5214311455414664E-3</v>
      </c>
      <c r="G435" s="86">
        <f ca="1"/>
        <v>1.41893393874512E-4</v>
      </c>
    </row>
    <row r="436" spans="5:7" x14ac:dyDescent="0.15">
      <c r="E436" s="86">
        <f t="array" aca="1" ref="E436:G436" ca="1">MultivarXs(3, 500, A$3:C$5, A$7:A$9, B$7:B$9)</f>
        <v>-4.1433545590411121E-3</v>
      </c>
      <c r="F436" s="86">
        <f ca="1"/>
        <v>9.3260692724990879E-4</v>
      </c>
      <c r="G436" s="86">
        <f ca="1"/>
        <v>-2.2009346603326868E-3</v>
      </c>
    </row>
    <row r="437" spans="5:7" x14ac:dyDescent="0.15">
      <c r="E437" s="86">
        <f t="array" aca="1" ref="E437:G437" ca="1">MultivarXs(3, 500, A$3:C$5, A$7:A$9, B$7:B$9)</f>
        <v>-4.3485870419199468E-3</v>
      </c>
      <c r="F437" s="86">
        <f ca="1"/>
        <v>4.281621906484968E-3</v>
      </c>
      <c r="G437" s="86">
        <f ca="1"/>
        <v>1.8976813559316737E-2</v>
      </c>
    </row>
    <row r="438" spans="5:7" x14ac:dyDescent="0.15">
      <c r="E438" s="86">
        <f t="array" aca="1" ref="E438:G438" ca="1">MultivarXs(3, 500, A$3:C$5, A$7:A$9, B$7:B$9)</f>
        <v>-2.8391419177934075E-2</v>
      </c>
      <c r="F438" s="86">
        <f ca="1"/>
        <v>-1.7898310410546049E-2</v>
      </c>
      <c r="G438" s="86">
        <f ca="1"/>
        <v>-7.2549913513780687E-3</v>
      </c>
    </row>
    <row r="439" spans="5:7" x14ac:dyDescent="0.15">
      <c r="E439" s="86">
        <f t="array" aca="1" ref="E439:G439" ca="1">MultivarXs(3, 500, A$3:C$5, A$7:A$9, B$7:B$9)</f>
        <v>1.4258585705644799E-2</v>
      </c>
      <c r="F439" s="86">
        <f ca="1"/>
        <v>-1.404486830512036E-2</v>
      </c>
      <c r="G439" s="86">
        <f ca="1"/>
        <v>8.3963900408493952E-3</v>
      </c>
    </row>
    <row r="440" spans="5:7" x14ac:dyDescent="0.15">
      <c r="E440" s="86">
        <f t="array" aca="1" ref="E440:G440" ca="1">MultivarXs(3, 500, A$3:C$5, A$7:A$9, B$7:B$9)</f>
        <v>-1.6806160865942277E-2</v>
      </c>
      <c r="F440" s="86">
        <f ca="1"/>
        <v>-2.1170965308551105E-2</v>
      </c>
      <c r="G440" s="86">
        <f ca="1"/>
        <v>7.2257171293664182E-3</v>
      </c>
    </row>
    <row r="441" spans="5:7" x14ac:dyDescent="0.15">
      <c r="E441" s="86">
        <f t="array" aca="1" ref="E441:G441" ca="1">MultivarXs(3, 500, A$3:C$5, A$7:A$9, B$7:B$9)</f>
        <v>1.5322897399131907E-2</v>
      </c>
      <c r="F441" s="86">
        <f ca="1"/>
        <v>-3.0901909514760325E-3</v>
      </c>
      <c r="G441" s="86">
        <f ca="1"/>
        <v>1.4774039375033307E-2</v>
      </c>
    </row>
    <row r="442" spans="5:7" x14ac:dyDescent="0.15">
      <c r="E442" s="86">
        <f t="array" aca="1" ref="E442:G442" ca="1">MultivarXs(3, 500, A$3:C$5, A$7:A$9, B$7:B$9)</f>
        <v>3.0999645196401297E-2</v>
      </c>
      <c r="F442" s="86">
        <f ca="1"/>
        <v>7.9376628401854298E-3</v>
      </c>
      <c r="G442" s="86">
        <f ca="1"/>
        <v>-7.1230015977343875E-3</v>
      </c>
    </row>
    <row r="443" spans="5:7" x14ac:dyDescent="0.15">
      <c r="E443" s="86">
        <f t="array" aca="1" ref="E443:G443" ca="1">MultivarXs(3, 500, A$3:C$5, A$7:A$9, B$7:B$9)</f>
        <v>-1.8818422137122162E-3</v>
      </c>
      <c r="F443" s="86">
        <f ca="1"/>
        <v>-8.045545807626224E-3</v>
      </c>
      <c r="G443" s="86">
        <f ca="1"/>
        <v>-3.9052839305755651E-4</v>
      </c>
    </row>
    <row r="444" spans="5:7" x14ac:dyDescent="0.15">
      <c r="E444" s="86">
        <f t="array" aca="1" ref="E444:G444" ca="1">MultivarXs(3, 500, A$3:C$5, A$7:A$9, B$7:B$9)</f>
        <v>-3.2905885474588982E-2</v>
      </c>
      <c r="F444" s="86">
        <f ca="1"/>
        <v>3.0408306912350605E-3</v>
      </c>
      <c r="G444" s="86">
        <f ca="1"/>
        <v>-2.7311209379269345E-3</v>
      </c>
    </row>
    <row r="445" spans="5:7" x14ac:dyDescent="0.15">
      <c r="E445" s="86">
        <f t="array" aca="1" ref="E445:G445" ca="1">MultivarXs(3, 500, A$3:C$5, A$7:A$9, B$7:B$9)</f>
        <v>-2.296532467773368E-2</v>
      </c>
      <c r="F445" s="86">
        <f ca="1"/>
        <v>-1.1967657000876424E-2</v>
      </c>
      <c r="G445" s="86">
        <f ca="1"/>
        <v>-1.1376325399630721E-2</v>
      </c>
    </row>
    <row r="446" spans="5:7" x14ac:dyDescent="0.15">
      <c r="E446" s="86">
        <f t="array" aca="1" ref="E446:G446" ca="1">MultivarXs(3, 500, A$3:C$5, A$7:A$9, B$7:B$9)</f>
        <v>6.493238158301314E-3</v>
      </c>
      <c r="F446" s="86">
        <f ca="1"/>
        <v>-2.9170127319300115E-2</v>
      </c>
      <c r="G446" s="86">
        <f ca="1"/>
        <v>1.7262599456584853E-3</v>
      </c>
    </row>
    <row r="447" spans="5:7" x14ac:dyDescent="0.15">
      <c r="E447" s="86">
        <f t="array" aca="1" ref="E447:G447" ca="1">MultivarXs(3, 500, A$3:C$5, A$7:A$9, B$7:B$9)</f>
        <v>1.320452666759149E-2</v>
      </c>
      <c r="F447" s="86">
        <f ca="1"/>
        <v>-1.4956966462185323E-2</v>
      </c>
      <c r="G447" s="86">
        <f ca="1"/>
        <v>7.6977727103789305E-3</v>
      </c>
    </row>
    <row r="448" spans="5:7" x14ac:dyDescent="0.15">
      <c r="E448" s="86">
        <f t="array" aca="1" ref="E448:G448" ca="1">MultivarXs(3, 500, A$3:C$5, A$7:A$9, B$7:B$9)</f>
        <v>4.8524157161201264E-3</v>
      </c>
      <c r="F448" s="86">
        <f ca="1"/>
        <v>1.0397151126021272E-2</v>
      </c>
      <c r="G448" s="86">
        <f ca="1"/>
        <v>-4.3836899256830559E-3</v>
      </c>
    </row>
    <row r="449" spans="5:7" x14ac:dyDescent="0.15">
      <c r="E449" s="86">
        <f t="array" aca="1" ref="E449:G449" ca="1">MultivarXs(3, 500, A$3:C$5, A$7:A$9, B$7:B$9)</f>
        <v>-3.5102945783778705E-2</v>
      </c>
      <c r="F449" s="86">
        <f ca="1"/>
        <v>-4.9804559500429722E-3</v>
      </c>
      <c r="G449" s="86">
        <f ca="1"/>
        <v>-7.4560480386316385E-3</v>
      </c>
    </row>
    <row r="450" spans="5:7" x14ac:dyDescent="0.15">
      <c r="E450" s="86">
        <f t="array" aca="1" ref="E450:G450" ca="1">MultivarXs(3, 500, A$3:C$5, A$7:A$9, B$7:B$9)</f>
        <v>5.8863996226146825E-3</v>
      </c>
      <c r="F450" s="86">
        <f ca="1"/>
        <v>-6.4232747852761406E-3</v>
      </c>
      <c r="G450" s="86">
        <f ca="1"/>
        <v>-1.6982859565550634E-2</v>
      </c>
    </row>
    <row r="451" spans="5:7" x14ac:dyDescent="0.15">
      <c r="E451" s="86">
        <f t="array" aca="1" ref="E451:G451" ca="1">MultivarXs(3, 500, A$3:C$5, A$7:A$9, B$7:B$9)</f>
        <v>-2.1551493261052063E-2</v>
      </c>
      <c r="F451" s="86">
        <f ca="1"/>
        <v>-4.3378392292594426E-3</v>
      </c>
      <c r="G451" s="86">
        <f ca="1"/>
        <v>7.3059283662768159E-3</v>
      </c>
    </row>
    <row r="452" spans="5:7" x14ac:dyDescent="0.15">
      <c r="E452" s="86">
        <f t="array" aca="1" ref="E452:G452" ca="1">MultivarXs(3, 500, A$3:C$5, A$7:A$9, B$7:B$9)</f>
        <v>3.0569733952147851E-3</v>
      </c>
      <c r="F452" s="86">
        <f ca="1"/>
        <v>-1.434450703667425E-2</v>
      </c>
      <c r="G452" s="86">
        <f ca="1"/>
        <v>-4.3426691895708238E-3</v>
      </c>
    </row>
    <row r="453" spans="5:7" x14ac:dyDescent="0.15">
      <c r="E453" s="86">
        <f t="array" aca="1" ref="E453:G453" ca="1">MultivarXs(3, 500, A$3:C$5, A$7:A$9, B$7:B$9)</f>
        <v>2.7823156054362856E-2</v>
      </c>
      <c r="F453" s="86">
        <f ca="1"/>
        <v>5.199784440331033E-4</v>
      </c>
      <c r="G453" s="86">
        <f ca="1"/>
        <v>2.0570331880220873E-2</v>
      </c>
    </row>
    <row r="454" spans="5:7" x14ac:dyDescent="0.15">
      <c r="E454" s="86">
        <f t="array" aca="1" ref="E454:G454" ca="1">MultivarXs(3, 500, A$3:C$5, A$7:A$9, B$7:B$9)</f>
        <v>2.8393435187358682E-2</v>
      </c>
      <c r="F454" s="86">
        <f ca="1"/>
        <v>3.0404697660740491E-2</v>
      </c>
      <c r="G454" s="86">
        <f ca="1"/>
        <v>-7.3025120283183656E-3</v>
      </c>
    </row>
    <row r="455" spans="5:7" x14ac:dyDescent="0.15">
      <c r="E455" s="86">
        <f t="array" aca="1" ref="E455:G455" ca="1">MultivarXs(3, 500, A$3:C$5, A$7:A$9, B$7:B$9)</f>
        <v>2.4809920649694579E-4</v>
      </c>
      <c r="F455" s="86">
        <f ca="1"/>
        <v>2.0789496137906944E-2</v>
      </c>
      <c r="G455" s="86">
        <f ca="1"/>
        <v>6.1408274688159537E-3</v>
      </c>
    </row>
    <row r="456" spans="5:7" x14ac:dyDescent="0.15">
      <c r="E456" s="86">
        <f t="array" aca="1" ref="E456:G456" ca="1">MultivarXs(3, 500, A$3:C$5, A$7:A$9, B$7:B$9)</f>
        <v>-5.4748710922318186E-3</v>
      </c>
      <c r="F456" s="86">
        <f ca="1"/>
        <v>3.4738849991859618E-3</v>
      </c>
      <c r="G456" s="86">
        <f ca="1"/>
        <v>-9.0169436455972349E-3</v>
      </c>
    </row>
    <row r="457" spans="5:7" x14ac:dyDescent="0.15">
      <c r="E457" s="86">
        <f t="array" aca="1" ref="E457:G457" ca="1">MultivarXs(3, 500, A$3:C$5, A$7:A$9, B$7:B$9)</f>
        <v>-1.8126025033024736E-2</v>
      </c>
      <c r="F457" s="86">
        <f ca="1"/>
        <v>6.7077928054570983E-3</v>
      </c>
      <c r="G457" s="86">
        <f ca="1"/>
        <v>-2.0304922740546211E-3</v>
      </c>
    </row>
    <row r="458" spans="5:7" x14ac:dyDescent="0.15">
      <c r="E458" s="86">
        <f t="array" aca="1" ref="E458:G458" ca="1">MultivarXs(3, 500, A$3:C$5, A$7:A$9, B$7:B$9)</f>
        <v>1.2295442895063978E-2</v>
      </c>
      <c r="F458" s="86">
        <f ca="1"/>
        <v>1.2953511151338691E-2</v>
      </c>
      <c r="G458" s="86">
        <f ca="1"/>
        <v>-3.5961347017302824E-3</v>
      </c>
    </row>
    <row r="459" spans="5:7" x14ac:dyDescent="0.15">
      <c r="E459" s="86">
        <f t="array" aca="1" ref="E459:G459" ca="1">MultivarXs(3, 500, A$3:C$5, A$7:A$9, B$7:B$9)</f>
        <v>8.3195480353284324E-3</v>
      </c>
      <c r="F459" s="86">
        <f ca="1"/>
        <v>1.7695278020047663E-2</v>
      </c>
      <c r="G459" s="86">
        <f ca="1"/>
        <v>1.8604836445982327E-3</v>
      </c>
    </row>
    <row r="460" spans="5:7" x14ac:dyDescent="0.15">
      <c r="E460" s="86">
        <f t="array" aca="1" ref="E460:G460" ca="1">MultivarXs(3, 500, A$3:C$5, A$7:A$9, B$7:B$9)</f>
        <v>1.2753825778253215E-2</v>
      </c>
      <c r="F460" s="86">
        <f ca="1"/>
        <v>1.4922681010697098E-2</v>
      </c>
      <c r="G460" s="86">
        <f ca="1"/>
        <v>1.6295622166554224E-2</v>
      </c>
    </row>
    <row r="461" spans="5:7" x14ac:dyDescent="0.15">
      <c r="E461" s="86">
        <f t="array" aca="1" ref="E461:G461" ca="1">MultivarXs(3, 500, A$3:C$5, A$7:A$9, B$7:B$9)</f>
        <v>-2.9646589705829458E-3</v>
      </c>
      <c r="F461" s="86">
        <f ca="1"/>
        <v>-7.1961482721183282E-3</v>
      </c>
      <c r="G461" s="86">
        <f ca="1"/>
        <v>-2.9333174264124613E-3</v>
      </c>
    </row>
    <row r="462" spans="5:7" x14ac:dyDescent="0.15">
      <c r="E462" s="86">
        <f t="array" aca="1" ref="E462:G462" ca="1">MultivarXs(3, 500, A$3:C$5, A$7:A$9, B$7:B$9)</f>
        <v>-6.9778654248665055E-3</v>
      </c>
      <c r="F462" s="86">
        <f ca="1"/>
        <v>1.1855650056558167E-2</v>
      </c>
      <c r="G462" s="86">
        <f ca="1"/>
        <v>1.3990201707358034E-2</v>
      </c>
    </row>
    <row r="463" spans="5:7" x14ac:dyDescent="0.15">
      <c r="E463" s="86">
        <f t="array" aca="1" ref="E463:G463" ca="1">MultivarXs(3, 500, A$3:C$5, A$7:A$9, B$7:B$9)</f>
        <v>2.4527540522669899E-3</v>
      </c>
      <c r="F463" s="86">
        <f ca="1"/>
        <v>2.3004552145778632E-3</v>
      </c>
      <c r="G463" s="86">
        <f ca="1"/>
        <v>8.9423346031942928E-3</v>
      </c>
    </row>
    <row r="464" spans="5:7" x14ac:dyDescent="0.15">
      <c r="E464" s="86">
        <f t="array" aca="1" ref="E464:G464" ca="1">MultivarXs(3, 500, A$3:C$5, A$7:A$9, B$7:B$9)</f>
        <v>-1.6496556889710596E-2</v>
      </c>
      <c r="F464" s="86">
        <f ca="1"/>
        <v>-9.7469951339187576E-3</v>
      </c>
      <c r="G464" s="86">
        <f ca="1"/>
        <v>3.1543254698116344E-3</v>
      </c>
    </row>
    <row r="465" spans="5:7" x14ac:dyDescent="0.15">
      <c r="E465" s="86">
        <f t="array" aca="1" ref="E465:G465" ca="1">MultivarXs(3, 500, A$3:C$5, A$7:A$9, B$7:B$9)</f>
        <v>2.5267462348554499E-2</v>
      </c>
      <c r="F465" s="86">
        <f ca="1"/>
        <v>1.6561326607897819E-3</v>
      </c>
      <c r="G465" s="86">
        <f ca="1"/>
        <v>-2.3750047439911018E-3</v>
      </c>
    </row>
    <row r="466" spans="5:7" x14ac:dyDescent="0.15">
      <c r="E466" s="86">
        <f t="array" aca="1" ref="E466:G466" ca="1">MultivarXs(3, 500, A$3:C$5, A$7:A$9, B$7:B$9)</f>
        <v>-1.6870756065946287E-2</v>
      </c>
      <c r="F466" s="86">
        <f ca="1"/>
        <v>-1.0472507810067042E-2</v>
      </c>
      <c r="G466" s="86">
        <f ca="1"/>
        <v>-8.9916193548443737E-3</v>
      </c>
    </row>
    <row r="467" spans="5:7" x14ac:dyDescent="0.15">
      <c r="E467" s="86">
        <f t="array" aca="1" ref="E467:G467" ca="1">MultivarXs(3, 500, A$3:C$5, A$7:A$9, B$7:B$9)</f>
        <v>1.7611899234286365E-3</v>
      </c>
      <c r="F467" s="86">
        <f ca="1"/>
        <v>2.879439039613834E-3</v>
      </c>
      <c r="G467" s="86">
        <f ca="1"/>
        <v>-8.3406586620820306E-3</v>
      </c>
    </row>
    <row r="468" spans="5:7" x14ac:dyDescent="0.15">
      <c r="E468" s="86">
        <f t="array" aca="1" ref="E468:G468" ca="1">MultivarXs(3, 500, A$3:C$5, A$7:A$9, B$7:B$9)</f>
        <v>3.3475500881004414E-2</v>
      </c>
      <c r="F468" s="86">
        <f ca="1"/>
        <v>4.7849256833757655E-3</v>
      </c>
      <c r="G468" s="86">
        <f ca="1"/>
        <v>2.7980751091491798E-3</v>
      </c>
    </row>
    <row r="469" spans="5:7" x14ac:dyDescent="0.15">
      <c r="E469" s="86">
        <f t="array" aca="1" ref="E469:G469" ca="1">MultivarXs(3, 500, A$3:C$5, A$7:A$9, B$7:B$9)</f>
        <v>4.0362710057883127E-3</v>
      </c>
      <c r="F469" s="86">
        <f ca="1"/>
        <v>7.0306129095827584E-3</v>
      </c>
      <c r="G469" s="86">
        <f ca="1"/>
        <v>7.2663358280755045E-3</v>
      </c>
    </row>
    <row r="470" spans="5:7" x14ac:dyDescent="0.15">
      <c r="E470" s="86">
        <f t="array" aca="1" ref="E470:G470" ca="1">MultivarXs(3, 500, A$3:C$5, A$7:A$9, B$7:B$9)</f>
        <v>-2.9821060678155704E-3</v>
      </c>
      <c r="F470" s="86">
        <f ca="1"/>
        <v>8.0685258867115861E-3</v>
      </c>
      <c r="G470" s="86">
        <f ca="1"/>
        <v>2.8786004338068358E-3</v>
      </c>
    </row>
    <row r="471" spans="5:7" x14ac:dyDescent="0.15">
      <c r="E471" s="86">
        <f t="array" aca="1" ref="E471:G471" ca="1">MultivarXs(3, 500, A$3:C$5, A$7:A$9, B$7:B$9)</f>
        <v>-1.0959337677163372E-2</v>
      </c>
      <c r="F471" s="86">
        <f ca="1"/>
        <v>1.2821327967855305E-2</v>
      </c>
      <c r="G471" s="86">
        <f ca="1"/>
        <v>-7.6638140248216514E-3</v>
      </c>
    </row>
    <row r="472" spans="5:7" x14ac:dyDescent="0.15">
      <c r="E472" s="86">
        <f t="array" aca="1" ref="E472:G472" ca="1">MultivarXs(3, 500, A$3:C$5, A$7:A$9, B$7:B$9)</f>
        <v>3.043495996412858E-2</v>
      </c>
      <c r="F472" s="86">
        <f ca="1"/>
        <v>4.7086266490280505E-3</v>
      </c>
      <c r="G472" s="86">
        <f ca="1"/>
        <v>8.2117133825491649E-3</v>
      </c>
    </row>
    <row r="473" spans="5:7" x14ac:dyDescent="0.15">
      <c r="E473" s="86">
        <f t="array" aca="1" ref="E473:G473" ca="1">MultivarXs(3, 500, A$3:C$5, A$7:A$9, B$7:B$9)</f>
        <v>-7.109159319437959E-3</v>
      </c>
      <c r="F473" s="86">
        <f ca="1"/>
        <v>9.4112469643612632E-4</v>
      </c>
      <c r="G473" s="86">
        <f ca="1"/>
        <v>2.5859781416435117E-3</v>
      </c>
    </row>
    <row r="474" spans="5:7" x14ac:dyDescent="0.15">
      <c r="E474" s="86">
        <f t="array" aca="1" ref="E474:G474" ca="1">MultivarXs(3, 500, A$3:C$5, A$7:A$9, B$7:B$9)</f>
        <v>5.8004511354599331E-3</v>
      </c>
      <c r="F474" s="86">
        <f ca="1"/>
        <v>-1.5611185558685159E-3</v>
      </c>
      <c r="G474" s="86">
        <f ca="1"/>
        <v>-1.3233348374513975E-3</v>
      </c>
    </row>
    <row r="475" spans="5:7" x14ac:dyDescent="0.15">
      <c r="E475" s="86">
        <f t="array" aca="1" ref="E475:G475" ca="1">MultivarXs(3, 500, A$3:C$5, A$7:A$9, B$7:B$9)</f>
        <v>5.9171271028650814E-3</v>
      </c>
      <c r="F475" s="86">
        <f ca="1"/>
        <v>-1.1257459652690529E-3</v>
      </c>
      <c r="G475" s="86">
        <f ca="1"/>
        <v>-3.5367958004094441E-3</v>
      </c>
    </row>
    <row r="476" spans="5:7" x14ac:dyDescent="0.15">
      <c r="E476" s="86">
        <f t="array" aca="1" ref="E476:G476" ca="1">MultivarXs(3, 500, A$3:C$5, A$7:A$9, B$7:B$9)</f>
        <v>2.0649616532688753E-3</v>
      </c>
      <c r="F476" s="86">
        <f ca="1"/>
        <v>-1.1631075087540795E-2</v>
      </c>
      <c r="G476" s="86">
        <f ca="1"/>
        <v>-5.5080526327742569E-3</v>
      </c>
    </row>
    <row r="477" spans="5:7" x14ac:dyDescent="0.15">
      <c r="E477" s="86">
        <f t="array" aca="1" ref="E477:G477" ca="1">MultivarXs(3, 500, A$3:C$5, A$7:A$9, B$7:B$9)</f>
        <v>4.4725760161086203E-2</v>
      </c>
      <c r="F477" s="86">
        <f ca="1"/>
        <v>8.568704361848414E-3</v>
      </c>
      <c r="G477" s="86">
        <f ca="1"/>
        <v>1.2492777429895444E-2</v>
      </c>
    </row>
    <row r="478" spans="5:7" x14ac:dyDescent="0.15">
      <c r="E478" s="86">
        <f t="array" aca="1" ref="E478:G478" ca="1">MultivarXs(3, 500, A$3:C$5, A$7:A$9, B$7:B$9)</f>
        <v>-1.1031395762238468E-2</v>
      </c>
      <c r="F478" s="86">
        <f ca="1"/>
        <v>-8.6605542731559414E-3</v>
      </c>
      <c r="G478" s="86">
        <f ca="1"/>
        <v>4.8321921109917712E-3</v>
      </c>
    </row>
    <row r="479" spans="5:7" x14ac:dyDescent="0.15">
      <c r="E479" s="86">
        <f t="array" aca="1" ref="E479:G479" ca="1">MultivarXs(3, 500, A$3:C$5, A$7:A$9, B$7:B$9)</f>
        <v>1.0451966741743476E-2</v>
      </c>
      <c r="F479" s="86">
        <f ca="1"/>
        <v>5.1583211061805674E-3</v>
      </c>
      <c r="G479" s="86">
        <f ca="1"/>
        <v>5.1317647035183421E-3</v>
      </c>
    </row>
    <row r="480" spans="5:7" x14ac:dyDescent="0.15">
      <c r="E480" s="86">
        <f t="array" aca="1" ref="E480:G480" ca="1">MultivarXs(3, 500, A$3:C$5, A$7:A$9, B$7:B$9)</f>
        <v>2.5215884823728352E-3</v>
      </c>
      <c r="F480" s="86">
        <f ca="1"/>
        <v>-6.0190744284077301E-2</v>
      </c>
      <c r="G480" s="86">
        <f ca="1"/>
        <v>-6.6554796344685165E-3</v>
      </c>
    </row>
    <row r="481" spans="5:7" x14ac:dyDescent="0.15">
      <c r="E481" s="86">
        <f t="array" aca="1" ref="E481:G481" ca="1">MultivarXs(3, 500, A$3:C$5, A$7:A$9, B$7:B$9)</f>
        <v>3.18900093390116E-2</v>
      </c>
      <c r="F481" s="86">
        <f ca="1"/>
        <v>3.3330855192798561E-2</v>
      </c>
      <c r="G481" s="86">
        <f ca="1"/>
        <v>1.6339229715459654E-2</v>
      </c>
    </row>
    <row r="482" spans="5:7" x14ac:dyDescent="0.15">
      <c r="E482" s="86">
        <f t="array" aca="1" ref="E482:G482" ca="1">MultivarXs(3, 500, A$3:C$5, A$7:A$9, B$7:B$9)</f>
        <v>-2.83851678131074E-2</v>
      </c>
      <c r="F482" s="86">
        <f ca="1"/>
        <v>1.9271174883315544E-2</v>
      </c>
      <c r="G482" s="86">
        <f ca="1"/>
        <v>-5.3243463600807341E-3</v>
      </c>
    </row>
    <row r="483" spans="5:7" x14ac:dyDescent="0.15">
      <c r="E483" s="86">
        <f t="array" aca="1" ref="E483:G483" ca="1">MultivarXs(3, 500, A$3:C$5, A$7:A$9, B$7:B$9)</f>
        <v>1.3828845230119116E-2</v>
      </c>
      <c r="F483" s="86">
        <f ca="1"/>
        <v>4.0581801277810416E-3</v>
      </c>
      <c r="G483" s="86">
        <f ca="1"/>
        <v>8.0643391823883477E-3</v>
      </c>
    </row>
    <row r="484" spans="5:7" x14ac:dyDescent="0.15">
      <c r="E484" s="86">
        <f t="array" aca="1" ref="E484:G484" ca="1">MultivarXs(3, 500, A$3:C$5, A$7:A$9, B$7:B$9)</f>
        <v>-1.2141158506689504E-3</v>
      </c>
      <c r="F484" s="86">
        <f ca="1"/>
        <v>-4.2552253414291762E-3</v>
      </c>
      <c r="G484" s="86">
        <f ca="1"/>
        <v>-7.1588593852758209E-3</v>
      </c>
    </row>
    <row r="485" spans="5:7" x14ac:dyDescent="0.15">
      <c r="E485" s="86">
        <f t="array" aca="1" ref="E485:G485" ca="1">MultivarXs(3, 500, A$3:C$5, A$7:A$9, B$7:B$9)</f>
        <v>-1.4677724171720393E-2</v>
      </c>
      <c r="F485" s="86">
        <f ca="1"/>
        <v>-1.5426850379663367E-2</v>
      </c>
      <c r="G485" s="86">
        <f ca="1"/>
        <v>-1.1630756810727285E-2</v>
      </c>
    </row>
    <row r="486" spans="5:7" x14ac:dyDescent="0.15">
      <c r="E486" s="86">
        <f t="array" aca="1" ref="E486:G486" ca="1">MultivarXs(3, 500, A$3:C$5, A$7:A$9, B$7:B$9)</f>
        <v>-1.1450178911142979E-2</v>
      </c>
      <c r="F486" s="86">
        <f ca="1"/>
        <v>-1.8168103328594695E-2</v>
      </c>
      <c r="G486" s="86">
        <f ca="1"/>
        <v>-2.2453248443160948E-3</v>
      </c>
    </row>
    <row r="487" spans="5:7" x14ac:dyDescent="0.15">
      <c r="E487" s="86">
        <f t="array" aca="1" ref="E487:G487" ca="1">MultivarXs(3, 500, A$3:C$5, A$7:A$9, B$7:B$9)</f>
        <v>6.712795784533869E-3</v>
      </c>
      <c r="F487" s="86">
        <f ca="1"/>
        <v>6.7257044295728737E-3</v>
      </c>
      <c r="G487" s="86">
        <f ca="1"/>
        <v>1.1388789833891943E-2</v>
      </c>
    </row>
    <row r="488" spans="5:7" x14ac:dyDescent="0.15">
      <c r="E488" s="86">
        <f t="array" aca="1" ref="E488:G488" ca="1">MultivarXs(3, 500, A$3:C$5, A$7:A$9, B$7:B$9)</f>
        <v>3.6342340919328208E-3</v>
      </c>
      <c r="F488" s="86">
        <f ca="1"/>
        <v>-4.187180910230872E-3</v>
      </c>
      <c r="G488" s="86">
        <f ca="1"/>
        <v>-1.4185721206623812E-2</v>
      </c>
    </row>
    <row r="489" spans="5:7" x14ac:dyDescent="0.15">
      <c r="E489" s="86">
        <f t="array" aca="1" ref="E489:G489" ca="1">MultivarXs(3, 500, A$3:C$5, A$7:A$9, B$7:B$9)</f>
        <v>8.0122273946767863E-3</v>
      </c>
      <c r="F489" s="86">
        <f ca="1"/>
        <v>2.8479763465262341E-2</v>
      </c>
      <c r="G489" s="86">
        <f ca="1"/>
        <v>7.0172861705538486E-4</v>
      </c>
    </row>
    <row r="490" spans="5:7" x14ac:dyDescent="0.15">
      <c r="E490" s="86">
        <f t="array" aca="1" ref="E490:G490" ca="1">MultivarXs(3, 500, A$3:C$5, A$7:A$9, B$7:B$9)</f>
        <v>-2.8169313104295327E-3</v>
      </c>
      <c r="F490" s="86">
        <f ca="1"/>
        <v>1.6170037291826738E-2</v>
      </c>
      <c r="G490" s="86">
        <f ca="1"/>
        <v>-6.2199245668013757E-3</v>
      </c>
    </row>
    <row r="491" spans="5:7" x14ac:dyDescent="0.15">
      <c r="E491" s="86">
        <f t="array" aca="1" ref="E491:G491" ca="1">MultivarXs(3, 500, A$3:C$5, A$7:A$9, B$7:B$9)</f>
        <v>1.54483451209163E-2</v>
      </c>
      <c r="F491" s="86">
        <f ca="1"/>
        <v>-9.97939134691774E-3</v>
      </c>
      <c r="G491" s="86">
        <f ca="1"/>
        <v>-6.9276920747437182E-3</v>
      </c>
    </row>
    <row r="492" spans="5:7" x14ac:dyDescent="0.15">
      <c r="E492" s="86">
        <f t="array" aca="1" ref="E492:G492" ca="1">MultivarXs(3, 500, A$3:C$5, A$7:A$9, B$7:B$9)</f>
        <v>-2.0520094443080998E-2</v>
      </c>
      <c r="F492" s="86">
        <f ca="1"/>
        <v>-1.5111567717753939E-2</v>
      </c>
      <c r="G492" s="86">
        <f ca="1"/>
        <v>1.4602350521840453E-3</v>
      </c>
    </row>
    <row r="493" spans="5:7" x14ac:dyDescent="0.15">
      <c r="E493" s="86">
        <f t="array" aca="1" ref="E493:G493" ca="1">MultivarXs(3, 500, A$3:C$5, A$7:A$9, B$7:B$9)</f>
        <v>-1.1222452330587683E-2</v>
      </c>
      <c r="F493" s="86">
        <f ca="1"/>
        <v>1.7561554271699079E-3</v>
      </c>
      <c r="G493" s="86">
        <f ca="1"/>
        <v>-5.3432765236517896E-3</v>
      </c>
    </row>
    <row r="494" spans="5:7" x14ac:dyDescent="0.15">
      <c r="E494" s="86">
        <f t="array" aca="1" ref="E494:G494" ca="1">MultivarXs(3, 500, A$3:C$5, A$7:A$9, B$7:B$9)</f>
        <v>8.107765140474045E-4</v>
      </c>
      <c r="F494" s="86">
        <f ca="1"/>
        <v>1.3384061096654052E-2</v>
      </c>
      <c r="G494" s="86">
        <f ca="1"/>
        <v>5.3366387112475412E-3</v>
      </c>
    </row>
    <row r="495" spans="5:7" x14ac:dyDescent="0.15">
      <c r="E495" s="86">
        <f t="array" aca="1" ref="E495:G495" ca="1">MultivarXs(3, 500, A$3:C$5, A$7:A$9, B$7:B$9)</f>
        <v>1.0386169258164454E-2</v>
      </c>
      <c r="F495" s="86">
        <f ca="1"/>
        <v>-3.9430427474810353E-3</v>
      </c>
      <c r="G495" s="86">
        <f ca="1"/>
        <v>-1.7777634297904032E-2</v>
      </c>
    </row>
    <row r="496" spans="5:7" x14ac:dyDescent="0.15">
      <c r="E496" s="86">
        <f t="array" aca="1" ref="E496:G496" ca="1">MultivarXs(3, 500, A$3:C$5, A$7:A$9, B$7:B$9)</f>
        <v>2.7880308268708388E-2</v>
      </c>
      <c r="F496" s="86">
        <f ca="1"/>
        <v>1.5025792997995724E-2</v>
      </c>
      <c r="G496" s="86">
        <f ca="1"/>
        <v>3.5952225596023709E-3</v>
      </c>
    </row>
    <row r="497" spans="5:7" x14ac:dyDescent="0.15">
      <c r="E497" s="86">
        <f t="array" aca="1" ref="E497:G497" ca="1">MultivarXs(3, 500, A$3:C$5, A$7:A$9, B$7:B$9)</f>
        <v>1.606610033684085E-2</v>
      </c>
      <c r="F497" s="86">
        <f ca="1"/>
        <v>-1.2186354314404606E-3</v>
      </c>
      <c r="G497" s="86">
        <f ca="1"/>
        <v>9.5918109606857385E-3</v>
      </c>
    </row>
    <row r="498" spans="5:7" x14ac:dyDescent="0.15">
      <c r="E498" s="86">
        <f t="array" aca="1" ref="E498:G498" ca="1">MultivarXs(3, 500, A$3:C$5, A$7:A$9, B$7:B$9)</f>
        <v>-4.7573423724757953E-3</v>
      </c>
      <c r="F498" s="86">
        <f ca="1"/>
        <v>-1.4242185595953276E-2</v>
      </c>
      <c r="G498" s="86">
        <f ca="1"/>
        <v>-4.6639995977309674E-3</v>
      </c>
    </row>
    <row r="499" spans="5:7" x14ac:dyDescent="0.15">
      <c r="E499" s="86">
        <f t="array" aca="1" ref="E499:G499" ca="1">MultivarXs(3, 500, A$3:C$5, A$7:A$9, B$7:B$9)</f>
        <v>-3.9653097235777479E-2</v>
      </c>
      <c r="F499" s="86">
        <f ca="1"/>
        <v>-6.8111873986559986E-3</v>
      </c>
      <c r="G499" s="86">
        <f ca="1"/>
        <v>-7.5267726536474662E-3</v>
      </c>
    </row>
    <row r="500" spans="5:7" x14ac:dyDescent="0.15">
      <c r="E500" s="86">
        <f t="array" aca="1" ref="E500:G500" ca="1">MultivarXs(3, 500, A$3:C$5, A$7:A$9, B$7:B$9)</f>
        <v>-9.245296258994392E-3</v>
      </c>
      <c r="F500" s="86">
        <f ca="1"/>
        <v>-1.5762478092993148E-2</v>
      </c>
      <c r="G500" s="86">
        <f ca="1"/>
        <v>6.0368416804545714E-3</v>
      </c>
    </row>
    <row r="501" spans="5:7" x14ac:dyDescent="0.15">
      <c r="E501" s="86">
        <f t="array" aca="1" ref="E501:G501" ca="1">MultivarXs(3, 500, A$3:C$5, A$7:A$9, B$7:B$9)</f>
        <v>2.5959874800400337E-2</v>
      </c>
      <c r="F501" s="86">
        <f ca="1"/>
        <v>5.6246500273145544E-3</v>
      </c>
      <c r="G501" s="86">
        <f ca="1"/>
        <v>2.520005073349802E-3</v>
      </c>
    </row>
  </sheetData>
  <mergeCells count="3">
    <mergeCell ref="A2:C2"/>
    <mergeCell ref="I16:K16"/>
    <mergeCell ref="K4:M4"/>
  </mergeCells>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Intro</vt:lpstr>
      <vt:lpstr>CurrencyDoc</vt:lpstr>
      <vt:lpstr>Expo</vt:lpstr>
      <vt:lpstr>MCSim4</vt:lpstr>
      <vt:lpstr>CorrelatedRVs</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RANDOM Function and Sort Routines</dc:title>
  <dc:creator>Ata</dc:creator>
  <cp:lastModifiedBy>Microsoft Office User</cp:lastModifiedBy>
  <dcterms:created xsi:type="dcterms:W3CDTF">2000-09-19T14:43:54Z</dcterms:created>
  <dcterms:modified xsi:type="dcterms:W3CDTF">2020-04-01T19:46:44Z</dcterms:modified>
</cp:coreProperties>
</file>